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n.hutchison/Desktop/"/>
    </mc:Choice>
  </mc:AlternateContent>
  <xr:revisionPtr revIDLastSave="0" documentId="8_{4E7C4988-D539-4D4A-AAED-85964A89EC5F}" xr6:coauthVersionLast="47" xr6:coauthVersionMax="47" xr10:uidLastSave="{00000000-0000-0000-0000-000000000000}"/>
  <bookViews>
    <workbookView xWindow="0" yWindow="660" windowWidth="34560" windowHeight="21680" xr2:uid="{4108D922-1C2C-8F45-B11F-7B4A4E310542}"/>
  </bookViews>
  <sheets>
    <sheet name="Resource Alloc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7" i="1" l="1"/>
  <c r="U147" i="1"/>
  <c r="T147" i="1"/>
  <c r="S147" i="1"/>
  <c r="R147" i="1"/>
  <c r="Q147" i="1"/>
  <c r="P147" i="1"/>
  <c r="O147" i="1"/>
  <c r="N147" i="1"/>
  <c r="M147" i="1"/>
  <c r="L147" i="1"/>
  <c r="K147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V93" i="1"/>
  <c r="U93" i="1"/>
  <c r="T93" i="1"/>
  <c r="S93" i="1"/>
  <c r="R93" i="1"/>
  <c r="Q93" i="1"/>
  <c r="P93" i="1"/>
  <c r="O93" i="1"/>
  <c r="N93" i="1"/>
  <c r="M93" i="1"/>
  <c r="L93" i="1"/>
  <c r="K93" i="1"/>
  <c r="V88" i="1"/>
  <c r="U88" i="1"/>
  <c r="T88" i="1"/>
  <c r="S88" i="1"/>
  <c r="R88" i="1"/>
  <c r="Q88" i="1"/>
  <c r="P88" i="1"/>
  <c r="O88" i="1"/>
  <c r="N88" i="1"/>
  <c r="M88" i="1"/>
  <c r="L88" i="1"/>
  <c r="K88" i="1"/>
  <c r="V80" i="1"/>
  <c r="U80" i="1"/>
  <c r="T80" i="1"/>
  <c r="S80" i="1"/>
  <c r="R80" i="1"/>
  <c r="Q80" i="1"/>
  <c r="P80" i="1"/>
  <c r="O80" i="1"/>
  <c r="N80" i="1"/>
  <c r="M80" i="1"/>
  <c r="L80" i="1"/>
  <c r="K80" i="1"/>
  <c r="V78" i="1"/>
  <c r="U78" i="1"/>
  <c r="T78" i="1"/>
  <c r="S78" i="1"/>
  <c r="R78" i="1"/>
  <c r="Q78" i="1"/>
  <c r="P78" i="1"/>
  <c r="O78" i="1"/>
  <c r="N78" i="1"/>
  <c r="M78" i="1"/>
  <c r="L78" i="1"/>
  <c r="K78" i="1"/>
  <c r="V76" i="1"/>
  <c r="U76" i="1"/>
  <c r="T76" i="1"/>
  <c r="S76" i="1"/>
  <c r="R76" i="1"/>
  <c r="Q76" i="1"/>
  <c r="P76" i="1"/>
  <c r="O76" i="1"/>
  <c r="N76" i="1"/>
  <c r="M76" i="1"/>
  <c r="L76" i="1"/>
  <c r="K76" i="1"/>
  <c r="V70" i="1"/>
  <c r="U70" i="1"/>
  <c r="T70" i="1"/>
  <c r="S70" i="1"/>
  <c r="R70" i="1"/>
  <c r="Q70" i="1"/>
  <c r="P70" i="1"/>
  <c r="O70" i="1"/>
  <c r="N70" i="1"/>
  <c r="M70" i="1"/>
  <c r="L70" i="1"/>
  <c r="K70" i="1"/>
  <c r="V64" i="1"/>
  <c r="U64" i="1"/>
  <c r="T64" i="1"/>
  <c r="S64" i="1"/>
  <c r="R64" i="1"/>
  <c r="Q64" i="1"/>
  <c r="P64" i="1"/>
  <c r="O64" i="1"/>
  <c r="N64" i="1"/>
  <c r="M64" i="1"/>
  <c r="L64" i="1"/>
  <c r="K64" i="1"/>
  <c r="V61" i="1"/>
  <c r="U61" i="1"/>
  <c r="T61" i="1"/>
  <c r="S61" i="1"/>
  <c r="R61" i="1"/>
  <c r="Q61" i="1"/>
  <c r="P61" i="1"/>
  <c r="O61" i="1"/>
  <c r="N61" i="1"/>
  <c r="M61" i="1"/>
  <c r="L61" i="1"/>
  <c r="K61" i="1"/>
  <c r="V58" i="1"/>
  <c r="U58" i="1"/>
  <c r="T58" i="1"/>
  <c r="S58" i="1"/>
  <c r="R58" i="1"/>
  <c r="Q58" i="1"/>
  <c r="P58" i="1"/>
  <c r="O58" i="1"/>
  <c r="N58" i="1"/>
  <c r="M58" i="1"/>
  <c r="L58" i="1"/>
  <c r="K58" i="1"/>
  <c r="V50" i="1"/>
  <c r="U50" i="1"/>
  <c r="T50" i="1"/>
  <c r="S50" i="1"/>
  <c r="R50" i="1"/>
  <c r="Q50" i="1"/>
  <c r="P50" i="1"/>
  <c r="O50" i="1"/>
  <c r="N50" i="1"/>
  <c r="M50" i="1"/>
  <c r="L50" i="1"/>
  <c r="K50" i="1"/>
  <c r="V48" i="1"/>
  <c r="U48" i="1"/>
  <c r="T48" i="1"/>
  <c r="S48" i="1"/>
  <c r="R48" i="1"/>
  <c r="Q48" i="1"/>
  <c r="P48" i="1"/>
  <c r="O48" i="1"/>
  <c r="N48" i="1"/>
  <c r="M48" i="1"/>
  <c r="L48" i="1"/>
  <c r="K48" i="1"/>
  <c r="V46" i="1"/>
  <c r="U46" i="1"/>
  <c r="T46" i="1"/>
  <c r="S46" i="1"/>
  <c r="R46" i="1"/>
  <c r="Q46" i="1"/>
  <c r="P46" i="1"/>
  <c r="O46" i="1"/>
  <c r="N46" i="1"/>
  <c r="M46" i="1"/>
  <c r="L46" i="1"/>
  <c r="K46" i="1"/>
  <c r="V42" i="1"/>
  <c r="U42" i="1"/>
  <c r="T42" i="1"/>
  <c r="S42" i="1"/>
  <c r="R42" i="1"/>
  <c r="Q42" i="1"/>
  <c r="P42" i="1"/>
  <c r="O42" i="1"/>
  <c r="N42" i="1"/>
  <c r="M42" i="1"/>
  <c r="L42" i="1"/>
  <c r="K42" i="1"/>
  <c r="V36" i="1"/>
  <c r="U36" i="1"/>
  <c r="T36" i="1"/>
  <c r="S36" i="1"/>
  <c r="R36" i="1"/>
  <c r="Q36" i="1"/>
  <c r="P36" i="1"/>
  <c r="O36" i="1"/>
  <c r="N36" i="1"/>
  <c r="M36" i="1"/>
  <c r="L36" i="1"/>
  <c r="K36" i="1"/>
  <c r="V34" i="1"/>
  <c r="U34" i="1"/>
  <c r="T34" i="1"/>
  <c r="S34" i="1"/>
  <c r="R34" i="1"/>
  <c r="Q34" i="1"/>
  <c r="P34" i="1"/>
  <c r="O34" i="1"/>
  <c r="N34" i="1"/>
  <c r="M34" i="1"/>
  <c r="L34" i="1"/>
  <c r="K34" i="1"/>
  <c r="V31" i="1"/>
  <c r="U31" i="1"/>
  <c r="T31" i="1"/>
  <c r="S31" i="1"/>
  <c r="R31" i="1"/>
  <c r="Q31" i="1"/>
  <c r="P31" i="1"/>
  <c r="O31" i="1"/>
  <c r="N31" i="1"/>
  <c r="M31" i="1"/>
  <c r="L31" i="1"/>
  <c r="K31" i="1"/>
  <c r="V29" i="1"/>
  <c r="U29" i="1"/>
  <c r="T29" i="1"/>
  <c r="S29" i="1"/>
  <c r="R29" i="1"/>
  <c r="Q29" i="1"/>
  <c r="P29" i="1"/>
  <c r="O29" i="1"/>
  <c r="N29" i="1"/>
  <c r="M29" i="1"/>
  <c r="L29" i="1"/>
  <c r="K29" i="1"/>
  <c r="V23" i="1"/>
  <c r="U23" i="1"/>
  <c r="T23" i="1"/>
  <c r="S23" i="1"/>
  <c r="R23" i="1"/>
  <c r="Q23" i="1"/>
  <c r="P23" i="1"/>
  <c r="O23" i="1"/>
  <c r="N23" i="1"/>
  <c r="M23" i="1"/>
  <c r="L23" i="1"/>
  <c r="K23" i="1"/>
  <c r="V21" i="1"/>
  <c r="U21" i="1"/>
  <c r="T21" i="1"/>
  <c r="S21" i="1"/>
  <c r="R21" i="1"/>
  <c r="Q21" i="1"/>
  <c r="P21" i="1"/>
  <c r="O21" i="1"/>
  <c r="N21" i="1"/>
  <c r="M21" i="1"/>
  <c r="L21" i="1"/>
  <c r="K21" i="1"/>
</calcChain>
</file>

<file path=xl/sharedStrings.xml><?xml version="1.0" encoding="utf-8"?>
<sst xmlns="http://schemas.openxmlformats.org/spreadsheetml/2006/main" count="1104" uniqueCount="199">
  <si>
    <t>Resource Allocation</t>
  </si>
  <si>
    <t>Selected filters</t>
  </si>
  <si>
    <t>(hidden rows)</t>
  </si>
  <si>
    <t>Month from</t>
  </si>
  <si>
    <t>01-2026</t>
  </si>
  <si>
    <t>Month to</t>
  </si>
  <si>
    <t>12-2026</t>
  </si>
  <si>
    <t>Business Unit</t>
  </si>
  <si>
    <t>cwpuk_cwpuk</t>
  </si>
  <si>
    <t>Customers</t>
  </si>
  <si>
    <t>all</t>
  </si>
  <si>
    <t>Job Orders</t>
  </si>
  <si>
    <t>Job Sub Orders</t>
  </si>
  <si>
    <t>Resources</t>
  </si>
  <si>
    <t>Export COGE JOB S-ORDs Only</t>
  </si>
  <si>
    <t>Billable JOB S-ORDs Only</t>
  </si>
  <si>
    <t>Type</t>
  </si>
  <si>
    <t>operative</t>
  </si>
  <si>
    <t>Legenda</t>
  </si>
  <si>
    <t>Correctly allocated</t>
  </si>
  <si>
    <t>Over-allocated (Working days)</t>
  </si>
  <si>
    <t>Under-allocated (Working days)</t>
  </si>
  <si>
    <t>Under-allocated (HYPO days)</t>
  </si>
  <si>
    <t>Monthly resource allocation (HYPO/Work)</t>
  </si>
  <si>
    <t>Status</t>
  </si>
  <si>
    <t>NAME</t>
  </si>
  <si>
    <t>RESOURCE BU</t>
  </si>
  <si>
    <t>CUSTOMER</t>
  </si>
  <si>
    <t>REPLY ENTITY</t>
  </si>
  <si>
    <t>BUSINESS UNIT</t>
  </si>
  <si>
    <t>JOB ORIGIN</t>
  </si>
  <si>
    <t>JOB S-ORD CODE</t>
  </si>
  <si>
    <t>DESCRIPTION</t>
  </si>
  <si>
    <t>Jan-26 18/21</t>
  </si>
  <si>
    <t>Feb-26 18/20</t>
  </si>
  <si>
    <t>Mar-26 20/22</t>
  </si>
  <si>
    <t>Apr-26 17/20</t>
  </si>
  <si>
    <t>May-26 17/19</t>
  </si>
  <si>
    <t>Jun-26 20/22</t>
  </si>
  <si>
    <t>Jul-26 19/23</t>
  </si>
  <si>
    <t>Aug-26 16/20</t>
  </si>
  <si>
    <t>Sep-26 19/22</t>
  </si>
  <si>
    <t>Oct-26 20/22</t>
  </si>
  <si>
    <t>Nov-26 20/21</t>
  </si>
  <si>
    <t>Dec-26 16/21</t>
  </si>
  <si>
    <t>BARKER, Reece</t>
  </si>
  <si>
    <t>COMWRAP UK</t>
  </si>
  <si>
    <t>Comwrap UK</t>
  </si>
  <si>
    <t>C - Other effort</t>
  </si>
  <si>
    <t/>
  </si>
  <si>
    <t>.TK.</t>
  </si>
  <si>
    <t>C364-CWPUK-24-2-21</t>
  </si>
  <si>
    <t>_Planning - Vireo DAM 2026</t>
  </si>
  <si>
    <t>O</t>
  </si>
  <si>
    <t>TOTAL - BARKER, Reece</t>
  </si>
  <si>
    <t>CARR, James</t>
  </si>
  <si>
    <t>NO FORECAST</t>
  </si>
  <si>
    <t>TOTAL - CARR, James</t>
  </si>
  <si>
    <t>SLOAN, Elaine</t>
  </si>
  <si>
    <t>D - Forecast COGE</t>
  </si>
  <si>
    <t>.TM.</t>
  </si>
  <si>
    <t>C364-CWPUK-23-4-5</t>
  </si>
  <si>
    <t>CWR - Internal Annual Leave Planning - Internal Only</t>
  </si>
  <si>
    <t>C364-CWPUK-24-2-24</t>
  </si>
  <si>
    <t>_Planning (D&amp;A) - DLP (CDP Services)</t>
  </si>
  <si>
    <t>EG DE</t>
  </si>
  <si>
    <t>B - Formal effort</t>
  </si>
  <si>
    <t>[TK]</t>
  </si>
  <si>
    <t>RRFC-CWPUK-25-2-3</t>
  </si>
  <si>
    <t>SUB: Willow MVP- UK - Intercompany</t>
  </si>
  <si>
    <t>C364-CWPUK-24-2-25</t>
  </si>
  <si>
    <t>_Planning (D&amp;A) - BPB (CDP Services) - Phase 1</t>
  </si>
  <si>
    <t>C364-CWPUK-24-2-27</t>
  </si>
  <si>
    <t>_Planning (D&amp;A) - PLLL (DCR Services)</t>
  </si>
  <si>
    <t>TOTAL - SLOAN, Elaine</t>
  </si>
  <si>
    <t>BRADLEY, Jackson</t>
  </si>
  <si>
    <t>cwprit_adb</t>
  </si>
  <si>
    <t>TOTAL - BRADLEY, Jackson</t>
  </si>
  <si>
    <t>FOSTER, Amelia</t>
  </si>
  <si>
    <t>C364-CWPUK-23-4-9</t>
  </si>
  <si>
    <t>CWR - Internal / Non-Billable Activities (Meetings, Conferences) - Internal Only</t>
  </si>
  <si>
    <t>COMWRAP DE</t>
  </si>
  <si>
    <t>COMW-CWPUK-22-1-41</t>
  </si>
  <si>
    <t>SUB: AUR_AEM-039 Aurelian: RFS Content Strategy</t>
  </si>
  <si>
    <t>TOTAL - FOSTER, Amelia</t>
  </si>
  <si>
    <t>THOMPSON, Jack</t>
  </si>
  <si>
    <t>spkiait_sam</t>
  </si>
  <si>
    <t>TOTAL - THOMPSON, Jack</t>
  </si>
  <si>
    <t>PRESTON, Jay</t>
  </si>
  <si>
    <t>C364-CWPUK-23-4-11</t>
  </si>
  <si>
    <t>CWR - Internal Other Leave (Sick, Bereavement) - Internal Only</t>
  </si>
  <si>
    <t>COMW-CWPUK-22-1-32</t>
  </si>
  <si>
    <t>SUB: AUR_AEM-030b Anchorly: Redesign of Website (AEM Build)</t>
  </si>
  <si>
    <t>TOTAL - PRESTON, Jay</t>
  </si>
  <si>
    <t>PRICE, Alfie</t>
  </si>
  <si>
    <t>COMW-CWPUK-22-1-30</t>
  </si>
  <si>
    <t>SUB: AUR_AEM-029 Anchorly: Enhancements (pending SAP)</t>
  </si>
  <si>
    <t>TOTAL - PRICE, Alfie</t>
  </si>
  <si>
    <t>HARRISON, Grace</t>
  </si>
  <si>
    <t>cwpus_cwpus</t>
  </si>
  <si>
    <t>OTHER JOB S-ORD</t>
  </si>
  <si>
    <t>TOTAL - HARRISON, Grace</t>
  </si>
  <si>
    <t>DIXON, Josh</t>
  </si>
  <si>
    <t>arluk_arluk</t>
  </si>
  <si>
    <t>TOTAL - DIXON, Josh</t>
  </si>
  <si>
    <t>GRANT, Sarah</t>
  </si>
  <si>
    <t>C364-CWPUK-23-4-1</t>
  </si>
  <si>
    <t>CWR - Internal PMO</t>
  </si>
  <si>
    <t>C364-CWPUK-23-4-17</t>
  </si>
  <si>
    <t>CWR - Internal &amp; EG Meridian Workshop Jan 25</t>
  </si>
  <si>
    <t>RRFC-CWPUK-25-2-2</t>
  </si>
  <si>
    <t>SUB: GSTD Modern Trade -e2e - Workfront</t>
  </si>
  <si>
    <t>TOTAL - GRANT, Sarah</t>
  </si>
  <si>
    <t>BLACK, James</t>
  </si>
  <si>
    <t>TOTAL - BLACK, James</t>
  </si>
  <si>
    <t>STEWART, Jay</t>
  </si>
  <si>
    <t>C364-CWPUK-24-2-28</t>
  </si>
  <si>
    <t>_Planning (D&amp;A) - PMI (Target Services)</t>
  </si>
  <si>
    <t>TOTAL - STEWART, Jay</t>
  </si>
  <si>
    <t>BARNES, Alex</t>
  </si>
  <si>
    <t>NORTHROW</t>
  </si>
  <si>
    <t>[TM]</t>
  </si>
  <si>
    <t>NTH2-CWPUK-25-1-4</t>
  </si>
  <si>
    <t>NRTH_2026-001: NORTHROW Building Society: AEM T&amp;M Consultancy 2026-Q1 (10% Discount)</t>
  </si>
  <si>
    <t>ARBOR</t>
  </si>
  <si>
    <t>A - Order or eq.</t>
  </si>
  <si>
    <t>AR26-CWPUK-23-7-29</t>
  </si>
  <si>
    <t>ARBR_2025-011 - ARBOR Redesign Phase 2</t>
  </si>
  <si>
    <t>AR26-CWPUK-23-7-30</t>
  </si>
  <si>
    <t>ARBR_2025-010 - ARBOR Redesign Post-Go Live Support</t>
  </si>
  <si>
    <t>AR26-CWPUK-23-7-31</t>
  </si>
  <si>
    <t>ARBR_2026-001 - ARBOR AEM Retainer - 2026-Q1</t>
  </si>
  <si>
    <t>TOTAL - BARNES, Alex</t>
  </si>
  <si>
    <t>PATTERSON, Darren</t>
  </si>
  <si>
    <t>COMW-CWPUK-22-1-39</t>
  </si>
  <si>
    <t>SUB: AUR_AEM-037 Anchorly: Content Authoring Support 2025 Part 1</t>
  </si>
  <si>
    <t>COMW-CWPUK-22-1-43</t>
  </si>
  <si>
    <t>SUB: AUR_AEM-043 Aurelian: One Trust - First Two Websites</t>
  </si>
  <si>
    <t>TOTAL - PATTERSON, Darren</t>
  </si>
  <si>
    <t>SPENCER, Hayden</t>
  </si>
  <si>
    <t>TOTAL - SPENCER, Hayden</t>
  </si>
  <si>
    <t>CARSON, Michaela</t>
  </si>
  <si>
    <t>sagus_exp</t>
  </si>
  <si>
    <t>TOTAL - CARSON, Michaela</t>
  </si>
  <si>
    <t>MURPHY, Dominic</t>
  </si>
  <si>
    <t>C364-CWPUK-24-2-31</t>
  </si>
  <si>
    <t>_Planning - Aurelian - DAM Work</t>
  </si>
  <si>
    <t>TOTAL - MURPHY, Dominic</t>
  </si>
  <si>
    <t>EVANS, Robert</t>
  </si>
  <si>
    <t>IE DE</t>
  </si>
  <si>
    <t>POR9-CWPUK-25-3-1</t>
  </si>
  <si>
    <t>IC: DE Personalization Services 2025-H2</t>
  </si>
  <si>
    <t>COMW-CWPUK-22-1-42</t>
  </si>
  <si>
    <t>SUB: AUR_AEM-040 Aurelian: RFS Analytics &amp; Optimisation Rollout</t>
  </si>
  <si>
    <t>TOTAL - EVANS, Robert</t>
  </si>
  <si>
    <t>WALSH, Joe</t>
  </si>
  <si>
    <t>COMWRAP US</t>
  </si>
  <si>
    <t>C434-CWPUK-25-1-1</t>
  </si>
  <si>
    <t>IC: SUB: PT CW (SOCO034) VNT Monthly Analytics 2025</t>
  </si>
  <si>
    <t>AR26-CWPUK-23-8-7</t>
  </si>
  <si>
    <t>ARBR_2025-009 - ARBOR Adobe Analytics Retainer - 2025-Oct -2026-Jan</t>
  </si>
  <si>
    <t>C364-CWPUK-24-2-29</t>
  </si>
  <si>
    <t>_Planning - VNT Monthly Analytics 2026 Extension</t>
  </si>
  <si>
    <t>C364-CWPUK-24-2-30</t>
  </si>
  <si>
    <t>_Planning - ARBOR Analytics Retainer 2026 Extension</t>
  </si>
  <si>
    <t>TOTAL - WALSH, Joe</t>
  </si>
  <si>
    <t>NOB, 06 - BED Needed</t>
  </si>
  <si>
    <t>TOTAL - NOB, 06 - BED Needed</t>
  </si>
  <si>
    <t>NOB, 07 - FED Needed</t>
  </si>
  <si>
    <t>TOTAL - NOB, 07 - FED Needed</t>
  </si>
  <si>
    <t>NOB, 18 - Full-Time BA</t>
  </si>
  <si>
    <t>TOTAL - NOB, 18 - Full-Time BA</t>
  </si>
  <si>
    <t>WARD, Jonathan</t>
  </si>
  <si>
    <t>crtuk_crtuk</t>
  </si>
  <si>
    <t>TOTAL - WARD, Jonathan</t>
  </si>
  <si>
    <t>YOUNG, Abby</t>
  </si>
  <si>
    <t>TOTAL - YOUNG, Abby</t>
  </si>
  <si>
    <t>POOLE, Alfie</t>
  </si>
  <si>
    <t>TOTAL - POOLE, Alfie</t>
  </si>
  <si>
    <t>HARVEY, Marco</t>
  </si>
  <si>
    <t>TOTAL - HARVEY, Marco</t>
  </si>
  <si>
    <t>HAMILTON, Amelia</t>
  </si>
  <si>
    <t>TOTAL - HAMILTON, Amelia</t>
  </si>
  <si>
    <t>SHAW, Kyle</t>
  </si>
  <si>
    <t>TOTAL - SHAW, Kyle</t>
  </si>
  <si>
    <t>ELLIOT, Fred</t>
  </si>
  <si>
    <t>TOTAL - ELLIOT, Fred</t>
  </si>
  <si>
    <t>PETERSEN, Theo</t>
  </si>
  <si>
    <t>valuk_a&amp;a</t>
  </si>
  <si>
    <t>TOTAL - PETERSEN, Theo</t>
  </si>
  <si>
    <t>WATSON, Sofia</t>
  </si>
  <si>
    <t>C364-CWPUK-23-4-8</t>
  </si>
  <si>
    <t>CWR - Internal Bank Holiday Planning - Internal Only</t>
  </si>
  <si>
    <t>C</t>
  </si>
  <si>
    <t>TOTAL - WATSON, Sofia</t>
  </si>
  <si>
    <t>HUDSON, Callum</t>
  </si>
  <si>
    <t>TOTAL - HUDSON, Callum</t>
  </si>
  <si>
    <t>KENNEDY, Naomi</t>
  </si>
  <si>
    <t>TOTAL - KENNEDY, Naomi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</si>
</sst>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>
    <font>
      <sz val="11"/>
      <color indexed="8"/>
      <name val="Calibri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8"/>
      <color indexed="8"/>
      <name val="Arial"/>
      <family val="2"/>
    </font>
    <font>
      <b/>
      <sz val="8"/>
      <color indexed="9"/>
      <name val="Arial"/>
      <family val="2"/>
    </font>
    <font>
      <sz val="8"/>
      <color indexed="8"/>
      <name val="Arial"/>
      <family val="2"/>
    </font>
    <font>
      <b/>
      <sz val="12"/>
      <color indexed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i/>
      <sz val="8"/>
      <color indexed="8"/>
      <name val="Arial"/>
      <family val="2"/>
    </font>
    <font>
      <b/>
      <i/>
      <sz val="8"/>
      <color indexed="8"/>
      <name val="Arial"/>
      <family val="2"/>
    </font>
    <font>
      <sz val="8"/>
      <name val="Arial"/>
      <family val="2"/>
    </font>
    <font>
      <b/>
      <sz val="8"/>
      <color indexed="50"/>
      <name val="Arial"/>
      <family val="2"/>
    </font>
    <font>
      <b/>
      <sz val="8"/>
      <color indexed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4BAD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08CD4"/>
        <bgColor indexed="64"/>
      </patternFill>
    </fill>
    <fill>
      <patternFill patternType="solid">
        <fgColor rgb="FFD7D7D7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7">
    <xf numFmtId="0" fontId="0" fillId="0" borderId="0" xfId="0"/>
    <xf numFmtId="0" fontId="0" fillId="0" borderId="0" xfId="0" applyProtection="1">
      <protection locked="0"/>
    </xf>
    <xf numFmtId="0" fontId="21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2" fillId="33" borderId="0" xfId="42" applyFont="1" applyFill="1" applyAlignment="1" applyProtection="1">
      <alignment vertical="center"/>
      <protection locked="0"/>
    </xf>
    <xf numFmtId="0" fontId="22" fillId="33" borderId="0" xfId="42" applyFont="1" applyFill="1" applyAlignment="1" applyProtection="1">
      <alignment horizontal="center" vertical="center"/>
      <protection locked="0"/>
    </xf>
    <xf numFmtId="0" fontId="23" fillId="0" borderId="0" xfId="42" applyFont="1" applyAlignment="1" applyProtection="1">
      <alignment vertical="center"/>
      <protection locked="0"/>
    </xf>
    <xf numFmtId="0" fontId="21" fillId="0" borderId="0" xfId="42" applyFont="1" applyAlignment="1" applyProtection="1">
      <alignment vertical="center"/>
      <protection locked="0"/>
    </xf>
    <xf numFmtId="0" fontId="24" fillId="0" borderId="0" xfId="42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164" fontId="19" fillId="34" borderId="10" xfId="42" applyNumberFormat="1" applyFont="1" applyFill="1" applyBorder="1"/>
    <xf numFmtId="164" fontId="19" fillId="0" borderId="0" xfId="42" applyNumberFormat="1" applyFont="1"/>
    <xf numFmtId="164" fontId="19" fillId="35" borderId="10" xfId="42" applyNumberFormat="1" applyFont="1" applyFill="1" applyBorder="1"/>
    <xf numFmtId="164" fontId="19" fillId="36" borderId="10" xfId="42" applyNumberFormat="1" applyFont="1" applyFill="1" applyBorder="1"/>
    <xf numFmtId="164" fontId="19" fillId="37" borderId="10" xfId="42" applyNumberFormat="1" applyFont="1" applyFill="1" applyBorder="1"/>
    <xf numFmtId="0" fontId="19" fillId="0" borderId="0" xfId="42" applyFont="1"/>
    <xf numFmtId="0" fontId="21" fillId="0" borderId="0" xfId="42" applyFont="1"/>
    <xf numFmtId="0" fontId="19" fillId="33" borderId="17" xfId="42" applyFont="1" applyFill="1" applyBorder="1" applyAlignment="1">
      <alignment vertical="center"/>
    </xf>
    <xf numFmtId="0" fontId="19" fillId="33" borderId="18" xfId="42" applyFont="1" applyFill="1" applyBorder="1" applyAlignment="1">
      <alignment vertical="center"/>
    </xf>
    <xf numFmtId="0" fontId="19" fillId="33" borderId="18" xfId="42" quotePrefix="1" applyFont="1" applyFill="1" applyBorder="1" applyAlignment="1">
      <alignment vertical="center"/>
    </xf>
    <xf numFmtId="0" fontId="19" fillId="33" borderId="19" xfId="42" quotePrefix="1" applyFont="1" applyFill="1" applyBorder="1" applyAlignment="1">
      <alignment vertical="center"/>
    </xf>
    <xf numFmtId="0" fontId="19" fillId="33" borderId="18" xfId="42" quotePrefix="1" applyFont="1" applyFill="1" applyBorder="1" applyAlignment="1">
      <alignment horizontal="center" wrapText="1"/>
    </xf>
    <xf numFmtId="0" fontId="21" fillId="0" borderId="11" xfId="42" applyFont="1" applyBorder="1"/>
    <xf numFmtId="0" fontId="21" fillId="0" borderId="20" xfId="42" applyFont="1" applyBorder="1"/>
    <xf numFmtId="0" fontId="21" fillId="0" borderId="21" xfId="42" applyFont="1" applyBorder="1"/>
    <xf numFmtId="164" fontId="21" fillId="0" borderId="21" xfId="42" applyNumberFormat="1" applyFont="1" applyBorder="1"/>
    <xf numFmtId="0" fontId="28" fillId="0" borderId="22" xfId="42" applyFont="1" applyBorder="1" applyAlignment="1">
      <alignment horizontal="center"/>
    </xf>
    <xf numFmtId="0" fontId="21" fillId="0" borderId="23" xfId="42" applyFont="1" applyBorder="1"/>
    <xf numFmtId="164" fontId="20" fillId="37" borderId="18" xfId="42" applyNumberFormat="1" applyFont="1" applyFill="1" applyBorder="1"/>
    <xf numFmtId="0" fontId="21" fillId="0" borderId="24" xfId="42" applyFont="1" applyBorder="1"/>
    <xf numFmtId="0" fontId="21" fillId="39" borderId="21" xfId="42" applyFont="1" applyFill="1" applyBorder="1"/>
    <xf numFmtId="0" fontId="21" fillId="0" borderId="25" xfId="42" applyFont="1" applyBorder="1"/>
    <xf numFmtId="0" fontId="28" fillId="0" borderId="21" xfId="42" applyFont="1" applyBorder="1" applyAlignment="1">
      <alignment horizontal="center"/>
    </xf>
    <xf numFmtId="164" fontId="19" fillId="34" borderId="18" xfId="42" applyNumberFormat="1" applyFont="1" applyFill="1" applyBorder="1"/>
    <xf numFmtId="164" fontId="19" fillId="36" borderId="18" xfId="42" applyNumberFormat="1" applyFont="1" applyFill="1" applyBorder="1"/>
    <xf numFmtId="164" fontId="19" fillId="35" borderId="18" xfId="42" applyNumberFormat="1" applyFont="1" applyFill="1" applyBorder="1"/>
    <xf numFmtId="0" fontId="29" fillId="0" borderId="21" xfId="42" applyFont="1" applyBorder="1" applyAlignment="1">
      <alignment horizontal="center"/>
    </xf>
    <xf numFmtId="0" fontId="19" fillId="33" borderId="12" xfId="42" quotePrefix="1" applyFont="1" applyFill="1" applyBorder="1" applyAlignment="1">
      <alignment horizontal="center" vertical="center"/>
    </xf>
    <xf numFmtId="0" fontId="19" fillId="33" borderId="14" xfId="42" quotePrefix="1" applyFont="1" applyFill="1" applyBorder="1" applyAlignment="1">
      <alignment horizontal="center" vertical="center"/>
    </xf>
    <xf numFmtId="0" fontId="19" fillId="33" borderId="13" xfId="42" quotePrefix="1" applyFont="1" applyFill="1" applyBorder="1" applyAlignment="1">
      <alignment horizontal="center" vertical="center"/>
    </xf>
    <xf numFmtId="0" fontId="27" fillId="33" borderId="15" xfId="0" applyFont="1" applyFill="1" applyBorder="1" applyAlignment="1">
      <alignment horizontal="center" vertical="center" textRotation="90" wrapText="1"/>
    </xf>
    <xf numFmtId="0" fontId="27" fillId="33" borderId="16" xfId="0" applyFont="1" applyFill="1" applyBorder="1" applyAlignment="1">
      <alignment horizontal="center" vertical="center" textRotation="90" wrapText="1"/>
    </xf>
    <xf numFmtId="0" fontId="20" fillId="38" borderId="12" xfId="42" applyFont="1" applyFill="1" applyBorder="1" applyAlignment="1"/>
    <xf numFmtId="0" fontId="20" fillId="38" borderId="14" xfId="42" applyFont="1" applyFill="1" applyBorder="1" applyAlignment="1"/>
    <xf numFmtId="0" fontId="20" fillId="38" borderId="13" xfId="42" applyFont="1" applyFill="1" applyBorder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E7A4CF06-50E9-CA41-B216-DCE879BF17F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FCBC-C538-FE4C-A033-B4F764A737FB}">
  <dimension ref="A1:Y147"/>
  <sheetViews>
    <sheetView tabSelected="1" zoomScale="110" zoomScaleNormal="110" workbookViewId="0">
      <pane xSplit="3" ySplit="19" topLeftCell="D83" activePane="bottomRight" state="frozen"/>
      <selection pane="bottomRight" activeCell="E14" sqref="E14"/>
      <selection pane="bottomLeft" activeCell="A20" sqref="A20"/>
      <selection pane="topRight" activeCell="D1" sqref="D1"/>
    </sheetView>
  </sheetViews>
  <sheetFormatPr defaultColWidth="10.85546875" defaultRowHeight="15" customHeight="1"/>
  <cols>
    <col min="1" max="1" width="16.42578125" style="2" customWidth="1"/>
    <col min="2" max="6" width="12.42578125" style="2" customWidth="1"/>
    <col min="7" max="7" width="3.28515625" style="2" customWidth="1"/>
    <col min="8" max="8" width="3.28515625" style="3" customWidth="1"/>
    <col min="9" max="9" width="16" style="2" bestFit="1" customWidth="1"/>
    <col min="10" max="10" width="62.42578125" style="2" bestFit="1" customWidth="1"/>
    <col min="11" max="22" width="6.28515625" style="2" customWidth="1"/>
    <col min="23" max="23" width="1.85546875" style="2" customWidth="1"/>
    <col min="24" max="24" width="4.28515625" style="2" customWidth="1"/>
    <col min="25" max="16384" width="10.85546875" style="1"/>
  </cols>
  <sheetData>
    <row r="1" spans="1:10" ht="24" customHeight="1">
      <c r="A1" s="4" t="s">
        <v>0</v>
      </c>
      <c r="B1" s="4"/>
      <c r="C1" s="4"/>
      <c r="D1" s="4"/>
      <c r="E1" s="4"/>
      <c r="F1" s="4"/>
      <c r="G1" s="5"/>
      <c r="H1" s="5"/>
      <c r="I1" s="4"/>
      <c r="J1" s="4"/>
    </row>
    <row r="3" spans="1:10" ht="15" customHeight="1">
      <c r="A3" s="6" t="s">
        <v>1</v>
      </c>
      <c r="B3" s="7" t="s">
        <v>2</v>
      </c>
      <c r="C3" s="8"/>
      <c r="D3" s="6"/>
      <c r="E3" s="6"/>
      <c r="F3" s="6"/>
      <c r="H3" s="6"/>
      <c r="I3" s="6"/>
    </row>
    <row r="4" spans="1:10" ht="15" hidden="1" customHeight="1">
      <c r="A4" s="7" t="s">
        <v>3</v>
      </c>
      <c r="B4" s="9" t="s">
        <v>4</v>
      </c>
      <c r="C4" s="7" t="s">
        <v>5</v>
      </c>
      <c r="D4" s="9" t="s">
        <v>6</v>
      </c>
    </row>
    <row r="5" spans="1:10" ht="15" hidden="1" customHeight="1">
      <c r="A5" s="7" t="s">
        <v>7</v>
      </c>
      <c r="B5" s="10" t="s">
        <v>8</v>
      </c>
      <c r="C5" s="11"/>
      <c r="D5" s="11"/>
    </row>
    <row r="6" spans="1:10" ht="15" hidden="1" customHeight="1">
      <c r="A6" s="7" t="s">
        <v>9</v>
      </c>
      <c r="B6" s="11" t="s">
        <v>10</v>
      </c>
      <c r="C6" s="11"/>
      <c r="D6" s="11"/>
    </row>
    <row r="7" spans="1:10" ht="15" hidden="1" customHeight="1">
      <c r="A7" s="7" t="s">
        <v>11</v>
      </c>
      <c r="B7" s="11" t="s">
        <v>10</v>
      </c>
      <c r="C7" s="11"/>
      <c r="D7" s="11"/>
    </row>
    <row r="8" spans="1:10" ht="15" hidden="1" customHeight="1">
      <c r="A8" s="7" t="s">
        <v>12</v>
      </c>
      <c r="B8" s="11" t="s">
        <v>10</v>
      </c>
      <c r="C8" s="11"/>
      <c r="D8" s="11"/>
    </row>
    <row r="9" spans="1:10" ht="15" hidden="1" customHeight="1">
      <c r="A9" s="7" t="s">
        <v>13</v>
      </c>
      <c r="B9" s="11" t="s">
        <v>10</v>
      </c>
      <c r="C9" s="11"/>
      <c r="D9" s="11"/>
    </row>
    <row r="10" spans="1:10" ht="15" hidden="1" customHeight="1">
      <c r="A10" s="7" t="s">
        <v>14</v>
      </c>
      <c r="B10" s="10" t="s">
        <v>10</v>
      </c>
      <c r="C10" s="11"/>
    </row>
    <row r="11" spans="1:10" ht="15" hidden="1" customHeight="1">
      <c r="A11" s="7" t="s">
        <v>15</v>
      </c>
      <c r="B11" s="10" t="s">
        <v>10</v>
      </c>
      <c r="C11" s="11"/>
    </row>
    <row r="12" spans="1:10" ht="15" hidden="1" customHeight="1">
      <c r="A12" s="7" t="s">
        <v>16</v>
      </c>
      <c r="B12" s="11" t="s">
        <v>17</v>
      </c>
      <c r="C12" s="11"/>
      <c r="D12" s="11"/>
    </row>
    <row r="13" spans="1:10" ht="15" customHeight="1">
      <c r="C13" s="11"/>
      <c r="D13" s="11"/>
      <c r="E13" s="11"/>
    </row>
    <row r="14" spans="1:10" ht="15" customHeight="1">
      <c r="A14" s="9" t="s">
        <v>18</v>
      </c>
      <c r="B14" s="12"/>
      <c r="C14" s="2" t="s">
        <v>19</v>
      </c>
      <c r="H14" s="13"/>
    </row>
    <row r="15" spans="1:10" ht="15" customHeight="1">
      <c r="A15" s="7"/>
      <c r="B15" s="14"/>
      <c r="C15" s="2" t="s">
        <v>20</v>
      </c>
      <c r="H15" s="13"/>
    </row>
    <row r="16" spans="1:10" ht="15" customHeight="1">
      <c r="A16" s="7"/>
      <c r="B16" s="15"/>
      <c r="C16" s="2" t="s">
        <v>21</v>
      </c>
      <c r="H16" s="13"/>
    </row>
    <row r="17" spans="1:25" ht="15" customHeight="1" thickBot="1">
      <c r="A17" s="7"/>
      <c r="B17" s="16"/>
      <c r="C17" s="2" t="s">
        <v>22</v>
      </c>
      <c r="D17" s="7"/>
      <c r="E17" s="7"/>
      <c r="F17" s="13"/>
      <c r="G17" s="13"/>
      <c r="H17" s="2"/>
    </row>
    <row r="18" spans="1:25" ht="18" customHeight="1" thickBo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39" t="s">
        <v>23</v>
      </c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1"/>
      <c r="W18" s="18"/>
      <c r="X18" s="42" t="s">
        <v>24</v>
      </c>
      <c r="Y18" s="18"/>
    </row>
    <row r="19" spans="1:25" ht="25.5" customHeight="1" thickBot="1">
      <c r="A19" s="19" t="s">
        <v>25</v>
      </c>
      <c r="B19" s="21" t="s">
        <v>26</v>
      </c>
      <c r="C19" s="21" t="s">
        <v>27</v>
      </c>
      <c r="D19" s="21" t="s">
        <v>28</v>
      </c>
      <c r="E19" s="21" t="s">
        <v>29</v>
      </c>
      <c r="F19" s="21" t="s">
        <v>30</v>
      </c>
      <c r="G19" s="20"/>
      <c r="H19" s="20"/>
      <c r="I19" s="21" t="s">
        <v>31</v>
      </c>
      <c r="J19" s="22" t="s">
        <v>32</v>
      </c>
      <c r="K19" s="23" t="s">
        <v>33</v>
      </c>
      <c r="L19" s="23" t="s">
        <v>34</v>
      </c>
      <c r="M19" s="23" t="s">
        <v>35</v>
      </c>
      <c r="N19" s="23" t="s">
        <v>36</v>
      </c>
      <c r="O19" s="23" t="s">
        <v>37</v>
      </c>
      <c r="P19" s="23" t="s">
        <v>38</v>
      </c>
      <c r="Q19" s="23" t="s">
        <v>39</v>
      </c>
      <c r="R19" s="23" t="s">
        <v>40</v>
      </c>
      <c r="S19" s="23" t="s">
        <v>41</v>
      </c>
      <c r="T19" s="23" t="s">
        <v>42</v>
      </c>
      <c r="U19" s="23" t="s">
        <v>43</v>
      </c>
      <c r="V19" s="23" t="s">
        <v>44</v>
      </c>
      <c r="W19" s="24"/>
      <c r="X19" s="43"/>
    </row>
    <row r="20" spans="1:25" ht="15" customHeight="1" thickBot="1">
      <c r="A20" s="25" t="s">
        <v>45</v>
      </c>
      <c r="B20" s="26" t="s">
        <v>8</v>
      </c>
      <c r="C20" s="26" t="s">
        <v>46</v>
      </c>
      <c r="D20" s="26" t="s">
        <v>47</v>
      </c>
      <c r="E20" s="26" t="s">
        <v>8</v>
      </c>
      <c r="F20" s="26" t="s">
        <v>48</v>
      </c>
      <c r="G20" s="26" t="s">
        <v>49</v>
      </c>
      <c r="H20" s="26" t="s">
        <v>50</v>
      </c>
      <c r="I20" s="26" t="s">
        <v>51</v>
      </c>
      <c r="J20" s="26" t="s">
        <v>52</v>
      </c>
      <c r="K20" s="27">
        <v>0</v>
      </c>
      <c r="L20" s="27">
        <v>0</v>
      </c>
      <c r="M20" s="27">
        <v>4</v>
      </c>
      <c r="N20" s="27">
        <v>1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4"/>
      <c r="X20" s="28" t="s">
        <v>53</v>
      </c>
      <c r="Y20" s="18"/>
    </row>
    <row r="21" spans="1:25" ht="15" customHeight="1" thickBot="1">
      <c r="A21" s="29"/>
      <c r="B21" s="44" t="s">
        <v>54</v>
      </c>
      <c r="C21" s="45"/>
      <c r="D21" s="45"/>
      <c r="E21" s="45"/>
      <c r="F21" s="45"/>
      <c r="G21" s="45"/>
      <c r="H21" s="45"/>
      <c r="I21" s="45"/>
      <c r="J21" s="46"/>
      <c r="K21" s="30">
        <f t="shared" ref="K21:V21" si="0">SUM(K20:K20)</f>
        <v>0</v>
      </c>
      <c r="L21" s="30">
        <f t="shared" si="0"/>
        <v>0</v>
      </c>
      <c r="M21" s="30">
        <f t="shared" si="0"/>
        <v>4</v>
      </c>
      <c r="N21" s="30">
        <f t="shared" si="0"/>
        <v>1</v>
      </c>
      <c r="O21" s="30">
        <f t="shared" si="0"/>
        <v>0</v>
      </c>
      <c r="P21" s="30">
        <f t="shared" si="0"/>
        <v>0</v>
      </c>
      <c r="Q21" s="30">
        <f t="shared" si="0"/>
        <v>0</v>
      </c>
      <c r="R21" s="30">
        <f t="shared" si="0"/>
        <v>0</v>
      </c>
      <c r="S21" s="30">
        <f t="shared" si="0"/>
        <v>0</v>
      </c>
      <c r="T21" s="30">
        <f t="shared" si="0"/>
        <v>0</v>
      </c>
      <c r="U21" s="30">
        <f t="shared" si="0"/>
        <v>0</v>
      </c>
      <c r="V21" s="30">
        <f t="shared" si="0"/>
        <v>0</v>
      </c>
      <c r="W21" s="24"/>
      <c r="X21" s="31"/>
    </row>
    <row r="22" spans="1:25" ht="15" customHeight="1" thickBot="1">
      <c r="A22" s="25" t="s">
        <v>55</v>
      </c>
      <c r="B22" s="26" t="s">
        <v>8</v>
      </c>
      <c r="C22" s="26" t="s">
        <v>49</v>
      </c>
      <c r="D22" s="26" t="s">
        <v>49</v>
      </c>
      <c r="E22" s="26" t="s">
        <v>49</v>
      </c>
      <c r="F22" s="26" t="s">
        <v>49</v>
      </c>
      <c r="G22" s="26" t="s">
        <v>49</v>
      </c>
      <c r="H22" s="26" t="s">
        <v>49</v>
      </c>
      <c r="I22" s="26" t="s">
        <v>49</v>
      </c>
      <c r="J22" s="32" t="s">
        <v>56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4"/>
      <c r="X22" s="28"/>
      <c r="Y22" s="18"/>
    </row>
    <row r="23" spans="1:25" ht="15" customHeight="1" thickBot="1">
      <c r="A23" s="29"/>
      <c r="B23" s="44" t="s">
        <v>57</v>
      </c>
      <c r="C23" s="45"/>
      <c r="D23" s="45"/>
      <c r="E23" s="45"/>
      <c r="F23" s="45"/>
      <c r="G23" s="45"/>
      <c r="H23" s="45"/>
      <c r="I23" s="45"/>
      <c r="J23" s="46"/>
      <c r="K23" s="30">
        <f t="shared" ref="K23:V23" si="1">SUM(K22:K22)</f>
        <v>0</v>
      </c>
      <c r="L23" s="30">
        <f t="shared" si="1"/>
        <v>0</v>
      </c>
      <c r="M23" s="30">
        <f t="shared" si="1"/>
        <v>0</v>
      </c>
      <c r="N23" s="30">
        <f t="shared" si="1"/>
        <v>0</v>
      </c>
      <c r="O23" s="30">
        <f t="shared" si="1"/>
        <v>0</v>
      </c>
      <c r="P23" s="30">
        <f t="shared" si="1"/>
        <v>0</v>
      </c>
      <c r="Q23" s="30">
        <f t="shared" si="1"/>
        <v>0</v>
      </c>
      <c r="R23" s="30">
        <f t="shared" si="1"/>
        <v>0</v>
      </c>
      <c r="S23" s="30">
        <f t="shared" si="1"/>
        <v>0</v>
      </c>
      <c r="T23" s="30">
        <f t="shared" si="1"/>
        <v>0</v>
      </c>
      <c r="U23" s="30">
        <f t="shared" si="1"/>
        <v>0</v>
      </c>
      <c r="V23" s="30">
        <f t="shared" si="1"/>
        <v>0</v>
      </c>
      <c r="W23" s="24"/>
      <c r="X23" s="31"/>
    </row>
    <row r="24" spans="1:25" ht="15" customHeight="1">
      <c r="A24" s="25" t="s">
        <v>58</v>
      </c>
      <c r="B24" s="26" t="s">
        <v>8</v>
      </c>
      <c r="C24" s="26" t="s">
        <v>46</v>
      </c>
      <c r="D24" s="26" t="s">
        <v>47</v>
      </c>
      <c r="E24" s="26" t="s">
        <v>8</v>
      </c>
      <c r="F24" s="26" t="s">
        <v>59</v>
      </c>
      <c r="G24" s="26" t="s">
        <v>49</v>
      </c>
      <c r="H24" s="26" t="s">
        <v>60</v>
      </c>
      <c r="I24" s="26" t="s">
        <v>61</v>
      </c>
      <c r="J24" s="26" t="s">
        <v>62</v>
      </c>
      <c r="K24" s="27">
        <v>1</v>
      </c>
      <c r="L24" s="27">
        <v>0</v>
      </c>
      <c r="M24" s="27">
        <v>0</v>
      </c>
      <c r="N24" s="27">
        <v>0</v>
      </c>
      <c r="O24" s="27">
        <v>4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24"/>
      <c r="X24" s="28" t="s">
        <v>53</v>
      </c>
      <c r="Y24" s="18"/>
    </row>
    <row r="25" spans="1:25" ht="15" customHeight="1">
      <c r="A25" s="33" t="s">
        <v>58</v>
      </c>
      <c r="B25" s="26" t="s">
        <v>8</v>
      </c>
      <c r="C25" s="26" t="s">
        <v>46</v>
      </c>
      <c r="D25" s="26" t="s">
        <v>47</v>
      </c>
      <c r="E25" s="26" t="s">
        <v>8</v>
      </c>
      <c r="F25" s="26" t="s">
        <v>48</v>
      </c>
      <c r="G25" s="26" t="s">
        <v>49</v>
      </c>
      <c r="H25" s="26" t="s">
        <v>50</v>
      </c>
      <c r="I25" s="26" t="s">
        <v>63</v>
      </c>
      <c r="J25" s="26" t="s">
        <v>64</v>
      </c>
      <c r="K25" s="27">
        <v>10</v>
      </c>
      <c r="L25" s="27">
        <v>12</v>
      </c>
      <c r="M25" s="27">
        <v>12</v>
      </c>
      <c r="N25" s="27">
        <v>12</v>
      </c>
      <c r="O25" s="27">
        <v>12</v>
      </c>
      <c r="P25" s="27">
        <v>12</v>
      </c>
      <c r="Q25" s="27">
        <v>12</v>
      </c>
      <c r="R25" s="27">
        <v>12</v>
      </c>
      <c r="S25" s="27">
        <v>12</v>
      </c>
      <c r="T25" s="27">
        <v>12</v>
      </c>
      <c r="U25" s="27">
        <v>12</v>
      </c>
      <c r="V25" s="27">
        <v>12</v>
      </c>
      <c r="W25" s="24"/>
      <c r="X25" s="34" t="s">
        <v>53</v>
      </c>
      <c r="Y25" s="18"/>
    </row>
    <row r="26" spans="1:25" ht="15" customHeight="1">
      <c r="A26" s="33" t="s">
        <v>58</v>
      </c>
      <c r="B26" s="26" t="s">
        <v>8</v>
      </c>
      <c r="C26" s="26" t="s">
        <v>65</v>
      </c>
      <c r="D26" s="26" t="s">
        <v>47</v>
      </c>
      <c r="E26" s="26" t="s">
        <v>8</v>
      </c>
      <c r="F26" s="26" t="s">
        <v>66</v>
      </c>
      <c r="G26" s="26" t="s">
        <v>49</v>
      </c>
      <c r="H26" s="26" t="s">
        <v>67</v>
      </c>
      <c r="I26" s="26" t="s">
        <v>68</v>
      </c>
      <c r="J26" s="26" t="s">
        <v>69</v>
      </c>
      <c r="K26" s="27">
        <v>1</v>
      </c>
      <c r="L26" s="27">
        <v>1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  <c r="W26" s="24"/>
      <c r="X26" s="34" t="s">
        <v>53</v>
      </c>
      <c r="Y26" s="18"/>
    </row>
    <row r="27" spans="1:25" ht="15" customHeight="1">
      <c r="A27" s="33" t="s">
        <v>58</v>
      </c>
      <c r="B27" s="26" t="s">
        <v>8</v>
      </c>
      <c r="C27" s="26" t="s">
        <v>46</v>
      </c>
      <c r="D27" s="26" t="s">
        <v>47</v>
      </c>
      <c r="E27" s="26" t="s">
        <v>8</v>
      </c>
      <c r="F27" s="26" t="s">
        <v>48</v>
      </c>
      <c r="G27" s="26" t="s">
        <v>49</v>
      </c>
      <c r="H27" s="26" t="s">
        <v>50</v>
      </c>
      <c r="I27" s="26" t="s">
        <v>70</v>
      </c>
      <c r="J27" s="26" t="s">
        <v>71</v>
      </c>
      <c r="K27" s="27">
        <v>0</v>
      </c>
      <c r="L27" s="27">
        <v>5</v>
      </c>
      <c r="M27" s="27">
        <v>5</v>
      </c>
      <c r="N27" s="27">
        <v>5</v>
      </c>
      <c r="O27" s="27">
        <v>5</v>
      </c>
      <c r="P27" s="27">
        <v>5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4"/>
      <c r="X27" s="34" t="s">
        <v>53</v>
      </c>
      <c r="Y27" s="18"/>
    </row>
    <row r="28" spans="1:25" ht="15" customHeight="1" thickBot="1">
      <c r="A28" s="33" t="s">
        <v>58</v>
      </c>
      <c r="B28" s="26" t="s">
        <v>8</v>
      </c>
      <c r="C28" s="26" t="s">
        <v>46</v>
      </c>
      <c r="D28" s="26" t="s">
        <v>47</v>
      </c>
      <c r="E28" s="26" t="s">
        <v>8</v>
      </c>
      <c r="F28" s="26" t="s">
        <v>48</v>
      </c>
      <c r="G28" s="26" t="s">
        <v>49</v>
      </c>
      <c r="H28" s="26" t="s">
        <v>50</v>
      </c>
      <c r="I28" s="26" t="s">
        <v>72</v>
      </c>
      <c r="J28" s="26" t="s">
        <v>73</v>
      </c>
      <c r="K28" s="27">
        <v>0</v>
      </c>
      <c r="L28" s="27">
        <v>2</v>
      </c>
      <c r="M28" s="27">
        <v>2</v>
      </c>
      <c r="N28" s="27">
        <v>2</v>
      </c>
      <c r="O28" s="27">
        <v>2</v>
      </c>
      <c r="P28" s="27">
        <v>2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4"/>
      <c r="X28" s="34" t="s">
        <v>53</v>
      </c>
      <c r="Y28" s="18"/>
    </row>
    <row r="29" spans="1:25" ht="15" customHeight="1" thickBot="1">
      <c r="A29" s="29"/>
      <c r="B29" s="44" t="s">
        <v>74</v>
      </c>
      <c r="C29" s="45"/>
      <c r="D29" s="45"/>
      <c r="E29" s="45"/>
      <c r="F29" s="45"/>
      <c r="G29" s="45"/>
      <c r="H29" s="45"/>
      <c r="I29" s="45"/>
      <c r="J29" s="46"/>
      <c r="K29" s="30">
        <f t="shared" ref="K29:V29" si="2">SUM(K24:K28)</f>
        <v>12</v>
      </c>
      <c r="L29" s="35">
        <f t="shared" si="2"/>
        <v>20</v>
      </c>
      <c r="M29" s="30">
        <f t="shared" si="2"/>
        <v>19</v>
      </c>
      <c r="N29" s="36">
        <f t="shared" si="2"/>
        <v>19</v>
      </c>
      <c r="O29" s="37">
        <f t="shared" si="2"/>
        <v>23</v>
      </c>
      <c r="P29" s="30">
        <f t="shared" si="2"/>
        <v>19</v>
      </c>
      <c r="Q29" s="30">
        <f t="shared" si="2"/>
        <v>12</v>
      </c>
      <c r="R29" s="30">
        <f t="shared" si="2"/>
        <v>12</v>
      </c>
      <c r="S29" s="30">
        <f t="shared" si="2"/>
        <v>12</v>
      </c>
      <c r="T29" s="30">
        <f t="shared" si="2"/>
        <v>12</v>
      </c>
      <c r="U29" s="30">
        <f t="shared" si="2"/>
        <v>12</v>
      </c>
      <c r="V29" s="30">
        <f t="shared" si="2"/>
        <v>12</v>
      </c>
      <c r="W29" s="24"/>
      <c r="X29" s="31"/>
    </row>
    <row r="30" spans="1:25" ht="15" customHeight="1" thickBot="1">
      <c r="A30" s="25" t="s">
        <v>75</v>
      </c>
      <c r="B30" s="26" t="s">
        <v>76</v>
      </c>
      <c r="C30" s="26" t="s">
        <v>49</v>
      </c>
      <c r="D30" s="26" t="s">
        <v>49</v>
      </c>
      <c r="E30" s="26" t="s">
        <v>49</v>
      </c>
      <c r="F30" s="26" t="s">
        <v>49</v>
      </c>
      <c r="G30" s="26" t="s">
        <v>49</v>
      </c>
      <c r="H30" s="26" t="s">
        <v>49</v>
      </c>
      <c r="I30" s="26" t="s">
        <v>49</v>
      </c>
      <c r="J30" s="32" t="s">
        <v>56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4"/>
      <c r="X30" s="28"/>
      <c r="Y30" s="18"/>
    </row>
    <row r="31" spans="1:25" ht="15" customHeight="1" thickBot="1">
      <c r="A31" s="29"/>
      <c r="B31" s="44" t="s">
        <v>77</v>
      </c>
      <c r="C31" s="45"/>
      <c r="D31" s="45"/>
      <c r="E31" s="45"/>
      <c r="F31" s="45"/>
      <c r="G31" s="45"/>
      <c r="H31" s="45"/>
      <c r="I31" s="45"/>
      <c r="J31" s="46"/>
      <c r="K31" s="30">
        <f t="shared" ref="K31:V31" si="3">SUM(K30:K30)</f>
        <v>0</v>
      </c>
      <c r="L31" s="30">
        <f t="shared" si="3"/>
        <v>0</v>
      </c>
      <c r="M31" s="30">
        <f t="shared" si="3"/>
        <v>0</v>
      </c>
      <c r="N31" s="30">
        <f t="shared" si="3"/>
        <v>0</v>
      </c>
      <c r="O31" s="30">
        <f t="shared" si="3"/>
        <v>0</v>
      </c>
      <c r="P31" s="30">
        <f t="shared" si="3"/>
        <v>0</v>
      </c>
      <c r="Q31" s="30">
        <f t="shared" si="3"/>
        <v>0</v>
      </c>
      <c r="R31" s="30">
        <f t="shared" si="3"/>
        <v>0</v>
      </c>
      <c r="S31" s="30">
        <f t="shared" si="3"/>
        <v>0</v>
      </c>
      <c r="T31" s="30">
        <f t="shared" si="3"/>
        <v>0</v>
      </c>
      <c r="U31" s="30">
        <f t="shared" si="3"/>
        <v>0</v>
      </c>
      <c r="V31" s="30">
        <f t="shared" si="3"/>
        <v>0</v>
      </c>
      <c r="W31" s="24"/>
      <c r="X31" s="31"/>
    </row>
    <row r="32" spans="1:25" ht="15" customHeight="1">
      <c r="A32" s="25" t="s">
        <v>78</v>
      </c>
      <c r="B32" s="26" t="s">
        <v>8</v>
      </c>
      <c r="C32" s="26" t="s">
        <v>46</v>
      </c>
      <c r="D32" s="26" t="s">
        <v>47</v>
      </c>
      <c r="E32" s="26" t="s">
        <v>8</v>
      </c>
      <c r="F32" s="26" t="s">
        <v>48</v>
      </c>
      <c r="G32" s="26" t="s">
        <v>49</v>
      </c>
      <c r="H32" s="26" t="s">
        <v>60</v>
      </c>
      <c r="I32" s="26" t="s">
        <v>79</v>
      </c>
      <c r="J32" s="26" t="s">
        <v>80</v>
      </c>
      <c r="K32" s="27">
        <v>0.5</v>
      </c>
      <c r="L32" s="27">
        <v>0.5</v>
      </c>
      <c r="M32" s="27">
        <v>0.5</v>
      </c>
      <c r="N32" s="27">
        <v>0.5</v>
      </c>
      <c r="O32" s="27">
        <v>0.5</v>
      </c>
      <c r="P32" s="27">
        <v>0.5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  <c r="V32" s="27">
        <v>0</v>
      </c>
      <c r="W32" s="24"/>
      <c r="X32" s="28" t="s">
        <v>53</v>
      </c>
      <c r="Y32" s="18"/>
    </row>
    <row r="33" spans="1:25" ht="15" customHeight="1" thickBot="1">
      <c r="A33" s="33" t="s">
        <v>78</v>
      </c>
      <c r="B33" s="26" t="s">
        <v>8</v>
      </c>
      <c r="C33" s="26" t="s">
        <v>81</v>
      </c>
      <c r="D33" s="26" t="s">
        <v>47</v>
      </c>
      <c r="E33" s="26" t="s">
        <v>8</v>
      </c>
      <c r="F33" s="26" t="s">
        <v>66</v>
      </c>
      <c r="G33" s="26" t="s">
        <v>49</v>
      </c>
      <c r="H33" s="26" t="s">
        <v>67</v>
      </c>
      <c r="I33" s="26" t="s">
        <v>82</v>
      </c>
      <c r="J33" s="26" t="s">
        <v>83</v>
      </c>
      <c r="K33" s="27">
        <v>20</v>
      </c>
      <c r="L33" s="27">
        <v>20</v>
      </c>
      <c r="M33" s="27">
        <v>16</v>
      </c>
      <c r="N33" s="27">
        <v>15</v>
      </c>
      <c r="O33" s="27">
        <v>15</v>
      </c>
      <c r="P33" s="27">
        <v>15</v>
      </c>
      <c r="Q33" s="27">
        <v>15</v>
      </c>
      <c r="R33" s="27">
        <v>15</v>
      </c>
      <c r="S33" s="27">
        <v>15</v>
      </c>
      <c r="T33" s="27">
        <v>0</v>
      </c>
      <c r="U33" s="27">
        <v>0</v>
      </c>
      <c r="V33" s="27">
        <v>0</v>
      </c>
      <c r="W33" s="24"/>
      <c r="X33" s="34" t="s">
        <v>53</v>
      </c>
      <c r="Y33" s="18"/>
    </row>
    <row r="34" spans="1:25" ht="15" customHeight="1" thickBot="1">
      <c r="A34" s="29"/>
      <c r="B34" s="44" t="s">
        <v>84</v>
      </c>
      <c r="C34" s="45"/>
      <c r="D34" s="45"/>
      <c r="E34" s="45"/>
      <c r="F34" s="45"/>
      <c r="G34" s="45"/>
      <c r="H34" s="45"/>
      <c r="I34" s="45"/>
      <c r="J34" s="46"/>
      <c r="K34" s="36">
        <f t="shared" ref="K34:V34" si="4">SUM(K32:K33)</f>
        <v>20.5</v>
      </c>
      <c r="L34" s="37">
        <f t="shared" si="4"/>
        <v>20.5</v>
      </c>
      <c r="M34" s="30">
        <f t="shared" si="4"/>
        <v>16.5</v>
      </c>
      <c r="N34" s="30">
        <f t="shared" si="4"/>
        <v>15.5</v>
      </c>
      <c r="O34" s="30">
        <f t="shared" si="4"/>
        <v>15.5</v>
      </c>
      <c r="P34" s="30">
        <f t="shared" si="4"/>
        <v>15.5</v>
      </c>
      <c r="Q34" s="30">
        <f t="shared" si="4"/>
        <v>15</v>
      </c>
      <c r="R34" s="30">
        <f t="shared" si="4"/>
        <v>15</v>
      </c>
      <c r="S34" s="30">
        <f t="shared" si="4"/>
        <v>15</v>
      </c>
      <c r="T34" s="30">
        <f t="shared" si="4"/>
        <v>0</v>
      </c>
      <c r="U34" s="30">
        <f t="shared" si="4"/>
        <v>0</v>
      </c>
      <c r="V34" s="30">
        <f t="shared" si="4"/>
        <v>0</v>
      </c>
      <c r="W34" s="24"/>
      <c r="X34" s="31"/>
    </row>
    <row r="35" spans="1:25" ht="15" customHeight="1" thickBot="1">
      <c r="A35" s="25" t="s">
        <v>85</v>
      </c>
      <c r="B35" s="26" t="s">
        <v>86</v>
      </c>
      <c r="C35" s="26" t="s">
        <v>49</v>
      </c>
      <c r="D35" s="26" t="s">
        <v>49</v>
      </c>
      <c r="E35" s="26" t="s">
        <v>49</v>
      </c>
      <c r="F35" s="26" t="s">
        <v>49</v>
      </c>
      <c r="G35" s="26" t="s">
        <v>49</v>
      </c>
      <c r="H35" s="26" t="s">
        <v>49</v>
      </c>
      <c r="I35" s="26" t="s">
        <v>49</v>
      </c>
      <c r="J35" s="32" t="s">
        <v>56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4"/>
      <c r="X35" s="28"/>
      <c r="Y35" s="18"/>
    </row>
    <row r="36" spans="1:25" ht="15" customHeight="1" thickBot="1">
      <c r="A36" s="29"/>
      <c r="B36" s="44" t="s">
        <v>87</v>
      </c>
      <c r="C36" s="45"/>
      <c r="D36" s="45"/>
      <c r="E36" s="45"/>
      <c r="F36" s="45"/>
      <c r="G36" s="45"/>
      <c r="H36" s="45"/>
      <c r="I36" s="45"/>
      <c r="J36" s="46"/>
      <c r="K36" s="30">
        <f t="shared" ref="K36:V36" si="5">SUM(K35:K35)</f>
        <v>0</v>
      </c>
      <c r="L36" s="30">
        <f t="shared" si="5"/>
        <v>0</v>
      </c>
      <c r="M36" s="30">
        <f t="shared" si="5"/>
        <v>0</v>
      </c>
      <c r="N36" s="30">
        <f t="shared" si="5"/>
        <v>0</v>
      </c>
      <c r="O36" s="30">
        <f t="shared" si="5"/>
        <v>0</v>
      </c>
      <c r="P36" s="30">
        <f t="shared" si="5"/>
        <v>0</v>
      </c>
      <c r="Q36" s="30">
        <f t="shared" si="5"/>
        <v>0</v>
      </c>
      <c r="R36" s="30">
        <f t="shared" si="5"/>
        <v>0</v>
      </c>
      <c r="S36" s="30">
        <f t="shared" si="5"/>
        <v>0</v>
      </c>
      <c r="T36" s="30">
        <f t="shared" si="5"/>
        <v>0</v>
      </c>
      <c r="U36" s="30">
        <f t="shared" si="5"/>
        <v>0</v>
      </c>
      <c r="V36" s="30">
        <f t="shared" si="5"/>
        <v>0</v>
      </c>
      <c r="W36" s="24"/>
      <c r="X36" s="31"/>
    </row>
    <row r="37" spans="1:25" ht="15" customHeight="1">
      <c r="A37" s="25" t="s">
        <v>88</v>
      </c>
      <c r="B37" s="26" t="s">
        <v>8</v>
      </c>
      <c r="C37" s="26" t="s">
        <v>46</v>
      </c>
      <c r="D37" s="26" t="s">
        <v>47</v>
      </c>
      <c r="E37" s="26" t="s">
        <v>8</v>
      </c>
      <c r="F37" s="26" t="s">
        <v>48</v>
      </c>
      <c r="G37" s="26" t="s">
        <v>49</v>
      </c>
      <c r="H37" s="26" t="s">
        <v>60</v>
      </c>
      <c r="I37" s="26" t="s">
        <v>89</v>
      </c>
      <c r="J37" s="26" t="s">
        <v>90</v>
      </c>
      <c r="K37" s="27">
        <v>1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  <c r="V37" s="27">
        <v>0</v>
      </c>
      <c r="W37" s="24"/>
      <c r="X37" s="28" t="s">
        <v>53</v>
      </c>
      <c r="Y37" s="18"/>
    </row>
    <row r="38" spans="1:25" ht="15" customHeight="1">
      <c r="A38" s="33" t="s">
        <v>88</v>
      </c>
      <c r="B38" s="26" t="s">
        <v>8</v>
      </c>
      <c r="C38" s="26" t="s">
        <v>46</v>
      </c>
      <c r="D38" s="26" t="s">
        <v>47</v>
      </c>
      <c r="E38" s="26" t="s">
        <v>8</v>
      </c>
      <c r="F38" s="26" t="s">
        <v>48</v>
      </c>
      <c r="G38" s="26" t="s">
        <v>49</v>
      </c>
      <c r="H38" s="26" t="s">
        <v>60</v>
      </c>
      <c r="I38" s="26" t="s">
        <v>79</v>
      </c>
      <c r="J38" s="26" t="s">
        <v>80</v>
      </c>
      <c r="K38" s="27">
        <v>0.5</v>
      </c>
      <c r="L38" s="27">
        <v>0.5</v>
      </c>
      <c r="M38" s="27">
        <v>0.5</v>
      </c>
      <c r="N38" s="27">
        <v>0.5</v>
      </c>
      <c r="O38" s="27">
        <v>0.5</v>
      </c>
      <c r="P38" s="27">
        <v>0.5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  <c r="V38" s="27">
        <v>1</v>
      </c>
      <c r="W38" s="24"/>
      <c r="X38" s="34" t="s">
        <v>53</v>
      </c>
      <c r="Y38" s="18"/>
    </row>
    <row r="39" spans="1:25" ht="15" customHeight="1">
      <c r="A39" s="33" t="s">
        <v>88</v>
      </c>
      <c r="B39" s="26" t="s">
        <v>8</v>
      </c>
      <c r="C39" s="26" t="s">
        <v>81</v>
      </c>
      <c r="D39" s="26" t="s">
        <v>47</v>
      </c>
      <c r="E39" s="26" t="s">
        <v>8</v>
      </c>
      <c r="F39" s="26" t="s">
        <v>66</v>
      </c>
      <c r="G39" s="26" t="s">
        <v>49</v>
      </c>
      <c r="H39" s="26" t="s">
        <v>67</v>
      </c>
      <c r="I39" s="26" t="s">
        <v>91</v>
      </c>
      <c r="J39" s="26" t="s">
        <v>92</v>
      </c>
      <c r="K39" s="27">
        <v>4</v>
      </c>
      <c r="L39" s="27">
        <v>4</v>
      </c>
      <c r="M39" s="27">
        <v>3</v>
      </c>
      <c r="N39" s="27">
        <v>2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  <c r="V39" s="27">
        <v>0</v>
      </c>
      <c r="W39" s="24"/>
      <c r="X39" s="34" t="s">
        <v>53</v>
      </c>
      <c r="Y39" s="18"/>
    </row>
    <row r="40" spans="1:25" ht="15" customHeight="1">
      <c r="A40" s="33" t="s">
        <v>88</v>
      </c>
      <c r="B40" s="26" t="s">
        <v>8</v>
      </c>
      <c r="C40" s="26" t="s">
        <v>81</v>
      </c>
      <c r="D40" s="26" t="s">
        <v>47</v>
      </c>
      <c r="E40" s="26" t="s">
        <v>8</v>
      </c>
      <c r="F40" s="26" t="s">
        <v>66</v>
      </c>
      <c r="G40" s="26" t="s">
        <v>49</v>
      </c>
      <c r="H40" s="26" t="s">
        <v>67</v>
      </c>
      <c r="I40" s="26" t="s">
        <v>82</v>
      </c>
      <c r="J40" s="26" t="s">
        <v>83</v>
      </c>
      <c r="K40" s="27">
        <v>10</v>
      </c>
      <c r="L40" s="27">
        <v>10</v>
      </c>
      <c r="M40" s="27">
        <v>10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  <c r="V40" s="27">
        <v>0</v>
      </c>
      <c r="W40" s="24"/>
      <c r="X40" s="34" t="s">
        <v>53</v>
      </c>
      <c r="Y40" s="18"/>
    </row>
    <row r="41" spans="1:25" ht="15" customHeight="1" thickBot="1">
      <c r="A41" s="33" t="s">
        <v>88</v>
      </c>
      <c r="B41" s="26" t="s">
        <v>8</v>
      </c>
      <c r="C41" s="26" t="s">
        <v>46</v>
      </c>
      <c r="D41" s="26" t="s">
        <v>47</v>
      </c>
      <c r="E41" s="26" t="s">
        <v>8</v>
      </c>
      <c r="F41" s="26" t="s">
        <v>59</v>
      </c>
      <c r="G41" s="26" t="s">
        <v>49</v>
      </c>
      <c r="H41" s="26" t="s">
        <v>60</v>
      </c>
      <c r="I41" s="26" t="s">
        <v>61</v>
      </c>
      <c r="J41" s="26" t="s">
        <v>62</v>
      </c>
      <c r="K41" s="27">
        <v>0</v>
      </c>
      <c r="L41" s="27">
        <v>5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  <c r="V41" s="27">
        <v>0</v>
      </c>
      <c r="W41" s="24"/>
      <c r="X41" s="34" t="s">
        <v>53</v>
      </c>
      <c r="Y41" s="18"/>
    </row>
    <row r="42" spans="1:25" ht="15" customHeight="1" thickBot="1">
      <c r="A42" s="29"/>
      <c r="B42" s="44" t="s">
        <v>93</v>
      </c>
      <c r="C42" s="45"/>
      <c r="D42" s="45"/>
      <c r="E42" s="45"/>
      <c r="F42" s="45"/>
      <c r="G42" s="45"/>
      <c r="H42" s="45"/>
      <c r="I42" s="45"/>
      <c r="J42" s="46"/>
      <c r="K42" s="30">
        <f t="shared" ref="K42:V42" si="6">SUM(K37:K41)</f>
        <v>15.5</v>
      </c>
      <c r="L42" s="36">
        <f t="shared" si="6"/>
        <v>19.5</v>
      </c>
      <c r="M42" s="30">
        <f t="shared" si="6"/>
        <v>13.5</v>
      </c>
      <c r="N42" s="30">
        <f t="shared" si="6"/>
        <v>2.5</v>
      </c>
      <c r="O42" s="30">
        <f t="shared" si="6"/>
        <v>0.5</v>
      </c>
      <c r="P42" s="30">
        <f t="shared" si="6"/>
        <v>0.5</v>
      </c>
      <c r="Q42" s="30">
        <f t="shared" si="6"/>
        <v>0</v>
      </c>
      <c r="R42" s="30">
        <f t="shared" si="6"/>
        <v>0</v>
      </c>
      <c r="S42" s="30">
        <f t="shared" si="6"/>
        <v>0</v>
      </c>
      <c r="T42" s="30">
        <f t="shared" si="6"/>
        <v>0</v>
      </c>
      <c r="U42" s="30">
        <f t="shared" si="6"/>
        <v>0</v>
      </c>
      <c r="V42" s="30">
        <f t="shared" si="6"/>
        <v>1</v>
      </c>
      <c r="W42" s="24"/>
      <c r="X42" s="31"/>
    </row>
    <row r="43" spans="1:25" ht="15" customHeight="1">
      <c r="A43" s="25" t="s">
        <v>94</v>
      </c>
      <c r="B43" s="26" t="s">
        <v>8</v>
      </c>
      <c r="C43" s="26" t="s">
        <v>46</v>
      </c>
      <c r="D43" s="26" t="s">
        <v>47</v>
      </c>
      <c r="E43" s="26" t="s">
        <v>8</v>
      </c>
      <c r="F43" s="26" t="s">
        <v>59</v>
      </c>
      <c r="G43" s="26" t="s">
        <v>49</v>
      </c>
      <c r="H43" s="26" t="s">
        <v>60</v>
      </c>
      <c r="I43" s="26" t="s">
        <v>61</v>
      </c>
      <c r="J43" s="26" t="s">
        <v>62</v>
      </c>
      <c r="K43" s="27">
        <v>3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  <c r="V43" s="27">
        <v>0</v>
      </c>
      <c r="W43" s="24"/>
      <c r="X43" s="28" t="s">
        <v>53</v>
      </c>
      <c r="Y43" s="18"/>
    </row>
    <row r="44" spans="1:25" ht="15" customHeight="1">
      <c r="A44" s="33" t="s">
        <v>94</v>
      </c>
      <c r="B44" s="26" t="s">
        <v>8</v>
      </c>
      <c r="C44" s="26" t="s">
        <v>81</v>
      </c>
      <c r="D44" s="26" t="s">
        <v>47</v>
      </c>
      <c r="E44" s="26" t="s">
        <v>8</v>
      </c>
      <c r="F44" s="26" t="s">
        <v>66</v>
      </c>
      <c r="G44" s="26" t="s">
        <v>49</v>
      </c>
      <c r="H44" s="26" t="s">
        <v>67</v>
      </c>
      <c r="I44" s="26" t="s">
        <v>91</v>
      </c>
      <c r="J44" s="26" t="s">
        <v>92</v>
      </c>
      <c r="K44" s="27">
        <v>4</v>
      </c>
      <c r="L44" s="27">
        <v>4</v>
      </c>
      <c r="M44" s="27">
        <v>4</v>
      </c>
      <c r="N44" s="27">
        <v>2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4"/>
      <c r="X44" s="34" t="s">
        <v>53</v>
      </c>
      <c r="Y44" s="18"/>
    </row>
    <row r="45" spans="1:25" ht="15" customHeight="1" thickBot="1">
      <c r="A45" s="33" t="s">
        <v>94</v>
      </c>
      <c r="B45" s="26" t="s">
        <v>8</v>
      </c>
      <c r="C45" s="26" t="s">
        <v>81</v>
      </c>
      <c r="D45" s="26" t="s">
        <v>47</v>
      </c>
      <c r="E45" s="26" t="s">
        <v>8</v>
      </c>
      <c r="F45" s="26" t="s">
        <v>66</v>
      </c>
      <c r="G45" s="26" t="s">
        <v>49</v>
      </c>
      <c r="H45" s="26" t="s">
        <v>67</v>
      </c>
      <c r="I45" s="26" t="s">
        <v>95</v>
      </c>
      <c r="J45" s="26" t="s">
        <v>96</v>
      </c>
      <c r="K45" s="27">
        <v>0</v>
      </c>
      <c r="L45" s="27">
        <v>0</v>
      </c>
      <c r="M45" s="27">
        <v>0</v>
      </c>
      <c r="N45" s="27">
        <v>7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4"/>
      <c r="X45" s="34" t="s">
        <v>53</v>
      </c>
      <c r="Y45" s="18"/>
    </row>
    <row r="46" spans="1:25" ht="15" customHeight="1" thickBot="1">
      <c r="A46" s="29"/>
      <c r="B46" s="44" t="s">
        <v>97</v>
      </c>
      <c r="C46" s="45"/>
      <c r="D46" s="45"/>
      <c r="E46" s="45"/>
      <c r="F46" s="45"/>
      <c r="G46" s="45"/>
      <c r="H46" s="45"/>
      <c r="I46" s="45"/>
      <c r="J46" s="46"/>
      <c r="K46" s="30">
        <f t="shared" ref="K46:V46" si="7">SUM(K43:K45)</f>
        <v>7</v>
      </c>
      <c r="L46" s="30">
        <f t="shared" si="7"/>
        <v>4</v>
      </c>
      <c r="M46" s="30">
        <f t="shared" si="7"/>
        <v>4</v>
      </c>
      <c r="N46" s="30">
        <f t="shared" si="7"/>
        <v>9</v>
      </c>
      <c r="O46" s="30">
        <f t="shared" si="7"/>
        <v>0</v>
      </c>
      <c r="P46" s="30">
        <f t="shared" si="7"/>
        <v>0</v>
      </c>
      <c r="Q46" s="30">
        <f t="shared" si="7"/>
        <v>0</v>
      </c>
      <c r="R46" s="30">
        <f t="shared" si="7"/>
        <v>0</v>
      </c>
      <c r="S46" s="30">
        <f t="shared" si="7"/>
        <v>0</v>
      </c>
      <c r="T46" s="30">
        <f t="shared" si="7"/>
        <v>0</v>
      </c>
      <c r="U46" s="30">
        <f t="shared" si="7"/>
        <v>0</v>
      </c>
      <c r="V46" s="30">
        <f t="shared" si="7"/>
        <v>0</v>
      </c>
      <c r="W46" s="24"/>
      <c r="X46" s="31"/>
    </row>
    <row r="47" spans="1:25" ht="15" customHeight="1" thickBot="1">
      <c r="A47" s="25" t="s">
        <v>98</v>
      </c>
      <c r="B47" s="26" t="s">
        <v>99</v>
      </c>
      <c r="C47" s="26" t="s">
        <v>49</v>
      </c>
      <c r="D47" s="26" t="s">
        <v>49</v>
      </c>
      <c r="E47" s="26" t="s">
        <v>49</v>
      </c>
      <c r="F47" s="26" t="s">
        <v>49</v>
      </c>
      <c r="G47" s="26" t="s">
        <v>49</v>
      </c>
      <c r="H47" s="26" t="s">
        <v>49</v>
      </c>
      <c r="I47" s="26" t="s">
        <v>49</v>
      </c>
      <c r="J47" s="32" t="s">
        <v>100</v>
      </c>
      <c r="K47" s="27">
        <v>10.6</v>
      </c>
      <c r="L47" s="27">
        <v>7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  <c r="V47" s="27">
        <v>0</v>
      </c>
      <c r="W47" s="24"/>
      <c r="X47" s="28"/>
      <c r="Y47" s="18"/>
    </row>
    <row r="48" spans="1:25" ht="15" customHeight="1" thickBot="1">
      <c r="A48" s="29"/>
      <c r="B48" s="44" t="s">
        <v>101</v>
      </c>
      <c r="C48" s="45"/>
      <c r="D48" s="45"/>
      <c r="E48" s="45"/>
      <c r="F48" s="45"/>
      <c r="G48" s="45"/>
      <c r="H48" s="45"/>
      <c r="I48" s="45"/>
      <c r="J48" s="46"/>
      <c r="K48" s="37">
        <f t="shared" ref="K48:V48" si="8">SUM(K47:K47)</f>
        <v>10.6</v>
      </c>
      <c r="L48" s="30">
        <f t="shared" si="8"/>
        <v>7</v>
      </c>
      <c r="M48" s="30">
        <f t="shared" si="8"/>
        <v>0</v>
      </c>
      <c r="N48" s="30">
        <f t="shared" si="8"/>
        <v>0</v>
      </c>
      <c r="O48" s="30">
        <f t="shared" si="8"/>
        <v>0</v>
      </c>
      <c r="P48" s="30">
        <f t="shared" si="8"/>
        <v>0</v>
      </c>
      <c r="Q48" s="30">
        <f t="shared" si="8"/>
        <v>0</v>
      </c>
      <c r="R48" s="30">
        <f t="shared" si="8"/>
        <v>0</v>
      </c>
      <c r="S48" s="30">
        <f t="shared" si="8"/>
        <v>0</v>
      </c>
      <c r="T48" s="30">
        <f t="shared" si="8"/>
        <v>0</v>
      </c>
      <c r="U48" s="30">
        <f t="shared" si="8"/>
        <v>0</v>
      </c>
      <c r="V48" s="30">
        <f t="shared" si="8"/>
        <v>0</v>
      </c>
      <c r="W48" s="24"/>
      <c r="X48" s="31"/>
    </row>
    <row r="49" spans="1:25" ht="15" customHeight="1" thickBot="1">
      <c r="A49" s="25" t="s">
        <v>102</v>
      </c>
      <c r="B49" s="26" t="s">
        <v>103</v>
      </c>
      <c r="C49" s="26" t="s">
        <v>49</v>
      </c>
      <c r="D49" s="26" t="s">
        <v>49</v>
      </c>
      <c r="E49" s="26" t="s">
        <v>49</v>
      </c>
      <c r="F49" s="26" t="s">
        <v>49</v>
      </c>
      <c r="G49" s="26" t="s">
        <v>49</v>
      </c>
      <c r="H49" s="26" t="s">
        <v>49</v>
      </c>
      <c r="I49" s="26" t="s">
        <v>49</v>
      </c>
      <c r="J49" s="32" t="s">
        <v>100</v>
      </c>
      <c r="K49" s="27">
        <v>9</v>
      </c>
      <c r="L49" s="27">
        <v>14</v>
      </c>
      <c r="M49" s="27">
        <v>14</v>
      </c>
      <c r="N49" s="27">
        <v>14</v>
      </c>
      <c r="O49" s="27">
        <v>14</v>
      </c>
      <c r="P49" s="27">
        <v>14</v>
      </c>
      <c r="Q49" s="27">
        <v>14</v>
      </c>
      <c r="R49" s="27">
        <v>12</v>
      </c>
      <c r="S49" s="27">
        <v>12</v>
      </c>
      <c r="T49" s="27">
        <v>12</v>
      </c>
      <c r="U49" s="27">
        <v>12</v>
      </c>
      <c r="V49" s="27">
        <v>12</v>
      </c>
      <c r="W49" s="24"/>
      <c r="X49" s="28"/>
      <c r="Y49" s="18"/>
    </row>
    <row r="50" spans="1:25" ht="15" customHeight="1" thickBot="1">
      <c r="A50" s="29"/>
      <c r="B50" s="44" t="s">
        <v>104</v>
      </c>
      <c r="C50" s="45"/>
      <c r="D50" s="45"/>
      <c r="E50" s="45"/>
      <c r="F50" s="45"/>
      <c r="G50" s="45"/>
      <c r="H50" s="45"/>
      <c r="I50" s="45"/>
      <c r="J50" s="46"/>
      <c r="K50" s="30">
        <f t="shared" ref="K50:V50" si="9">SUM(K49:K49)</f>
        <v>9</v>
      </c>
      <c r="L50" s="30">
        <f t="shared" si="9"/>
        <v>14</v>
      </c>
      <c r="M50" s="30">
        <f t="shared" si="9"/>
        <v>14</v>
      </c>
      <c r="N50" s="30">
        <f t="shared" si="9"/>
        <v>14</v>
      </c>
      <c r="O50" s="30">
        <f t="shared" si="9"/>
        <v>14</v>
      </c>
      <c r="P50" s="30">
        <f t="shared" si="9"/>
        <v>14</v>
      </c>
      <c r="Q50" s="30">
        <f t="shared" si="9"/>
        <v>14</v>
      </c>
      <c r="R50" s="30">
        <f t="shared" si="9"/>
        <v>12</v>
      </c>
      <c r="S50" s="30">
        <f t="shared" si="9"/>
        <v>12</v>
      </c>
      <c r="T50" s="30">
        <f t="shared" si="9"/>
        <v>12</v>
      </c>
      <c r="U50" s="30">
        <f t="shared" si="9"/>
        <v>12</v>
      </c>
      <c r="V50" s="30">
        <f t="shared" si="9"/>
        <v>12</v>
      </c>
      <c r="W50" s="24"/>
      <c r="X50" s="31"/>
    </row>
    <row r="51" spans="1:25" ht="15" customHeight="1">
      <c r="A51" s="25" t="s">
        <v>105</v>
      </c>
      <c r="B51" s="26" t="s">
        <v>8</v>
      </c>
      <c r="C51" s="26" t="s">
        <v>46</v>
      </c>
      <c r="D51" s="26" t="s">
        <v>47</v>
      </c>
      <c r="E51" s="26" t="s">
        <v>8</v>
      </c>
      <c r="F51" s="26" t="s">
        <v>66</v>
      </c>
      <c r="G51" s="26" t="s">
        <v>49</v>
      </c>
      <c r="H51" s="26" t="s">
        <v>60</v>
      </c>
      <c r="I51" s="26" t="s">
        <v>106</v>
      </c>
      <c r="J51" s="26" t="s">
        <v>107</v>
      </c>
      <c r="K51" s="27">
        <v>1</v>
      </c>
      <c r="L51" s="27">
        <v>1</v>
      </c>
      <c r="M51" s="27">
        <v>1</v>
      </c>
      <c r="N51" s="27">
        <v>1</v>
      </c>
      <c r="O51" s="27">
        <v>1</v>
      </c>
      <c r="P51" s="27">
        <v>1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4"/>
      <c r="X51" s="28" t="s">
        <v>53</v>
      </c>
      <c r="Y51" s="18"/>
    </row>
    <row r="52" spans="1:25" ht="15" customHeight="1">
      <c r="A52" s="33" t="s">
        <v>105</v>
      </c>
      <c r="B52" s="26" t="s">
        <v>8</v>
      </c>
      <c r="C52" s="26" t="s">
        <v>46</v>
      </c>
      <c r="D52" s="26" t="s">
        <v>47</v>
      </c>
      <c r="E52" s="26" t="s">
        <v>8</v>
      </c>
      <c r="F52" s="26" t="s">
        <v>48</v>
      </c>
      <c r="G52" s="26" t="s">
        <v>49</v>
      </c>
      <c r="H52" s="26" t="s">
        <v>60</v>
      </c>
      <c r="I52" s="26" t="s">
        <v>89</v>
      </c>
      <c r="J52" s="26" t="s">
        <v>90</v>
      </c>
      <c r="K52" s="27">
        <v>8.1999999999999993</v>
      </c>
      <c r="L52" s="27">
        <v>7.5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  <c r="V52" s="27">
        <v>0</v>
      </c>
      <c r="W52" s="24"/>
      <c r="X52" s="34" t="s">
        <v>53</v>
      </c>
      <c r="Y52" s="18"/>
    </row>
    <row r="53" spans="1:25" ht="15" customHeight="1">
      <c r="A53" s="33" t="s">
        <v>105</v>
      </c>
      <c r="B53" s="26" t="s">
        <v>8</v>
      </c>
      <c r="C53" s="26" t="s">
        <v>46</v>
      </c>
      <c r="D53" s="26" t="s">
        <v>47</v>
      </c>
      <c r="E53" s="26" t="s">
        <v>8</v>
      </c>
      <c r="F53" s="26" t="s">
        <v>48</v>
      </c>
      <c r="G53" s="26" t="s">
        <v>49</v>
      </c>
      <c r="H53" s="26" t="s">
        <v>60</v>
      </c>
      <c r="I53" s="26" t="s">
        <v>108</v>
      </c>
      <c r="J53" s="26" t="s">
        <v>109</v>
      </c>
      <c r="K53" s="27">
        <v>1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  <c r="W53" s="24"/>
      <c r="X53" s="34" t="s">
        <v>53</v>
      </c>
      <c r="Y53" s="18"/>
    </row>
    <row r="54" spans="1:25" ht="15" customHeight="1">
      <c r="A54" s="33" t="s">
        <v>105</v>
      </c>
      <c r="B54" s="26" t="s">
        <v>8</v>
      </c>
      <c r="C54" s="26" t="s">
        <v>46</v>
      </c>
      <c r="D54" s="26" t="s">
        <v>47</v>
      </c>
      <c r="E54" s="26" t="s">
        <v>8</v>
      </c>
      <c r="F54" s="26" t="s">
        <v>59</v>
      </c>
      <c r="G54" s="26" t="s">
        <v>49</v>
      </c>
      <c r="H54" s="26" t="s">
        <v>60</v>
      </c>
      <c r="I54" s="26" t="s">
        <v>61</v>
      </c>
      <c r="J54" s="26" t="s">
        <v>62</v>
      </c>
      <c r="K54" s="27">
        <v>1</v>
      </c>
      <c r="L54" s="27">
        <v>0</v>
      </c>
      <c r="M54" s="27">
        <v>0</v>
      </c>
      <c r="N54" s="27">
        <v>9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  <c r="V54" s="27">
        <v>0</v>
      </c>
      <c r="W54" s="24"/>
      <c r="X54" s="34" t="s">
        <v>53</v>
      </c>
      <c r="Y54" s="18"/>
    </row>
    <row r="55" spans="1:25" ht="15" customHeight="1">
      <c r="A55" s="33" t="s">
        <v>105</v>
      </c>
      <c r="B55" s="26" t="s">
        <v>8</v>
      </c>
      <c r="C55" s="26" t="s">
        <v>46</v>
      </c>
      <c r="D55" s="26" t="s">
        <v>47</v>
      </c>
      <c r="E55" s="26" t="s">
        <v>8</v>
      </c>
      <c r="F55" s="26" t="s">
        <v>48</v>
      </c>
      <c r="G55" s="26" t="s">
        <v>49</v>
      </c>
      <c r="H55" s="26" t="s">
        <v>60</v>
      </c>
      <c r="I55" s="26" t="s">
        <v>79</v>
      </c>
      <c r="J55" s="26" t="s">
        <v>80</v>
      </c>
      <c r="K55" s="27">
        <v>2</v>
      </c>
      <c r="L55" s="27">
        <v>2</v>
      </c>
      <c r="M55" s="27">
        <v>2</v>
      </c>
      <c r="N55" s="27">
        <v>2</v>
      </c>
      <c r="O55" s="27">
        <v>2</v>
      </c>
      <c r="P55" s="27">
        <v>2</v>
      </c>
      <c r="Q55" s="27">
        <v>2</v>
      </c>
      <c r="R55" s="27">
        <v>2</v>
      </c>
      <c r="S55" s="27">
        <v>2</v>
      </c>
      <c r="T55" s="27">
        <v>2</v>
      </c>
      <c r="U55" s="27">
        <v>2</v>
      </c>
      <c r="V55" s="27">
        <v>2</v>
      </c>
      <c r="W55" s="24"/>
      <c r="X55" s="34" t="s">
        <v>53</v>
      </c>
      <c r="Y55" s="18"/>
    </row>
    <row r="56" spans="1:25" ht="15" customHeight="1">
      <c r="A56" s="33" t="s">
        <v>105</v>
      </c>
      <c r="B56" s="26" t="s">
        <v>8</v>
      </c>
      <c r="C56" s="26" t="s">
        <v>65</v>
      </c>
      <c r="D56" s="26" t="s">
        <v>47</v>
      </c>
      <c r="E56" s="26" t="s">
        <v>8</v>
      </c>
      <c r="F56" s="26" t="s">
        <v>66</v>
      </c>
      <c r="G56" s="26" t="s">
        <v>49</v>
      </c>
      <c r="H56" s="26" t="s">
        <v>67</v>
      </c>
      <c r="I56" s="26" t="s">
        <v>110</v>
      </c>
      <c r="J56" s="26" t="s">
        <v>111</v>
      </c>
      <c r="K56" s="27">
        <v>5</v>
      </c>
      <c r="L56" s="27">
        <v>5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  <c r="W56" s="24"/>
      <c r="X56" s="34" t="s">
        <v>53</v>
      </c>
      <c r="Y56" s="18"/>
    </row>
    <row r="57" spans="1:25" ht="15" customHeight="1" thickBot="1">
      <c r="A57" s="33" t="s">
        <v>105</v>
      </c>
      <c r="B57" s="26" t="s">
        <v>8</v>
      </c>
      <c r="C57" s="26" t="s">
        <v>65</v>
      </c>
      <c r="D57" s="26" t="s">
        <v>47</v>
      </c>
      <c r="E57" s="26" t="s">
        <v>8</v>
      </c>
      <c r="F57" s="26" t="s">
        <v>66</v>
      </c>
      <c r="G57" s="26" t="s">
        <v>49</v>
      </c>
      <c r="H57" s="26" t="s">
        <v>67</v>
      </c>
      <c r="I57" s="26" t="s">
        <v>68</v>
      </c>
      <c r="J57" s="26" t="s">
        <v>69</v>
      </c>
      <c r="K57" s="27">
        <v>0.5</v>
      </c>
      <c r="L57" s="27">
        <v>0.5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  <c r="V57" s="27">
        <v>0</v>
      </c>
      <c r="W57" s="24"/>
      <c r="X57" s="34" t="s">
        <v>53</v>
      </c>
      <c r="Y57" s="18"/>
    </row>
    <row r="58" spans="1:25" ht="15" customHeight="1" thickBot="1">
      <c r="A58" s="29"/>
      <c r="B58" s="44" t="s">
        <v>112</v>
      </c>
      <c r="C58" s="45"/>
      <c r="D58" s="45"/>
      <c r="E58" s="45"/>
      <c r="F58" s="45"/>
      <c r="G58" s="45"/>
      <c r="H58" s="45"/>
      <c r="I58" s="45"/>
      <c r="J58" s="46"/>
      <c r="K58" s="36">
        <f t="shared" ref="K58:V58" si="10">SUM(K51:K57)</f>
        <v>18.7</v>
      </c>
      <c r="L58" s="30">
        <f t="shared" si="10"/>
        <v>16</v>
      </c>
      <c r="M58" s="30">
        <f t="shared" si="10"/>
        <v>3</v>
      </c>
      <c r="N58" s="30">
        <f t="shared" si="10"/>
        <v>12</v>
      </c>
      <c r="O58" s="30">
        <f t="shared" si="10"/>
        <v>3</v>
      </c>
      <c r="P58" s="30">
        <f t="shared" si="10"/>
        <v>3</v>
      </c>
      <c r="Q58" s="30">
        <f t="shared" si="10"/>
        <v>2</v>
      </c>
      <c r="R58" s="30">
        <f t="shared" si="10"/>
        <v>2</v>
      </c>
      <c r="S58" s="30">
        <f t="shared" si="10"/>
        <v>2</v>
      </c>
      <c r="T58" s="30">
        <f t="shared" si="10"/>
        <v>2</v>
      </c>
      <c r="U58" s="30">
        <f t="shared" si="10"/>
        <v>2</v>
      </c>
      <c r="V58" s="30">
        <f t="shared" si="10"/>
        <v>2</v>
      </c>
      <c r="W58" s="24"/>
      <c r="X58" s="31"/>
    </row>
    <row r="59" spans="1:25" ht="15" customHeight="1">
      <c r="A59" s="25" t="s">
        <v>113</v>
      </c>
      <c r="B59" s="26" t="s">
        <v>8</v>
      </c>
      <c r="C59" s="26" t="s">
        <v>46</v>
      </c>
      <c r="D59" s="26" t="s">
        <v>47</v>
      </c>
      <c r="E59" s="26" t="s">
        <v>8</v>
      </c>
      <c r="F59" s="26" t="s">
        <v>59</v>
      </c>
      <c r="G59" s="26" t="s">
        <v>49</v>
      </c>
      <c r="H59" s="26" t="s">
        <v>60</v>
      </c>
      <c r="I59" s="26" t="s">
        <v>61</v>
      </c>
      <c r="J59" s="26" t="s">
        <v>62</v>
      </c>
      <c r="K59" s="27">
        <v>1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  <c r="V59" s="27">
        <v>0</v>
      </c>
      <c r="W59" s="24"/>
      <c r="X59" s="28" t="s">
        <v>53</v>
      </c>
      <c r="Y59" s="18"/>
    </row>
    <row r="60" spans="1:25" ht="15" customHeight="1" thickBot="1">
      <c r="A60" s="33" t="s">
        <v>113</v>
      </c>
      <c r="B60" s="26" t="s">
        <v>8</v>
      </c>
      <c r="C60" s="26" t="s">
        <v>81</v>
      </c>
      <c r="D60" s="26" t="s">
        <v>47</v>
      </c>
      <c r="E60" s="26" t="s">
        <v>8</v>
      </c>
      <c r="F60" s="26" t="s">
        <v>66</v>
      </c>
      <c r="G60" s="26" t="s">
        <v>49</v>
      </c>
      <c r="H60" s="26" t="s">
        <v>67</v>
      </c>
      <c r="I60" s="26" t="s">
        <v>82</v>
      </c>
      <c r="J60" s="26" t="s">
        <v>83</v>
      </c>
      <c r="K60" s="27">
        <v>1</v>
      </c>
      <c r="L60" s="27">
        <v>1</v>
      </c>
      <c r="M60" s="27">
        <v>1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  <c r="V60" s="27">
        <v>0</v>
      </c>
      <c r="W60" s="24"/>
      <c r="X60" s="34" t="s">
        <v>53</v>
      </c>
      <c r="Y60" s="18"/>
    </row>
    <row r="61" spans="1:25" ht="15" customHeight="1" thickBot="1">
      <c r="A61" s="29"/>
      <c r="B61" s="44" t="s">
        <v>114</v>
      </c>
      <c r="C61" s="45"/>
      <c r="D61" s="45"/>
      <c r="E61" s="45"/>
      <c r="F61" s="45"/>
      <c r="G61" s="45"/>
      <c r="H61" s="45"/>
      <c r="I61" s="45"/>
      <c r="J61" s="46"/>
      <c r="K61" s="30">
        <f t="shared" ref="K61:V61" si="11">SUM(K59:K60)</f>
        <v>2</v>
      </c>
      <c r="L61" s="30">
        <f t="shared" si="11"/>
        <v>1</v>
      </c>
      <c r="M61" s="30">
        <f t="shared" si="11"/>
        <v>1</v>
      </c>
      <c r="N61" s="30">
        <f t="shared" si="11"/>
        <v>0</v>
      </c>
      <c r="O61" s="30">
        <f t="shared" si="11"/>
        <v>0</v>
      </c>
      <c r="P61" s="30">
        <f t="shared" si="11"/>
        <v>0</v>
      </c>
      <c r="Q61" s="30">
        <f t="shared" si="11"/>
        <v>0</v>
      </c>
      <c r="R61" s="30">
        <f t="shared" si="11"/>
        <v>0</v>
      </c>
      <c r="S61" s="30">
        <f t="shared" si="11"/>
        <v>0</v>
      </c>
      <c r="T61" s="30">
        <f t="shared" si="11"/>
        <v>0</v>
      </c>
      <c r="U61" s="30">
        <f t="shared" si="11"/>
        <v>0</v>
      </c>
      <c r="V61" s="30">
        <f t="shared" si="11"/>
        <v>0</v>
      </c>
      <c r="W61" s="24"/>
      <c r="X61" s="31"/>
    </row>
    <row r="62" spans="1:25" ht="15" customHeight="1">
      <c r="A62" s="25" t="s">
        <v>115</v>
      </c>
      <c r="B62" s="26" t="s">
        <v>8</v>
      </c>
      <c r="C62" s="26" t="s">
        <v>46</v>
      </c>
      <c r="D62" s="26" t="s">
        <v>47</v>
      </c>
      <c r="E62" s="26" t="s">
        <v>8</v>
      </c>
      <c r="F62" s="26" t="s">
        <v>59</v>
      </c>
      <c r="G62" s="26" t="s">
        <v>49</v>
      </c>
      <c r="H62" s="26" t="s">
        <v>60</v>
      </c>
      <c r="I62" s="26" t="s">
        <v>61</v>
      </c>
      <c r="J62" s="26" t="s">
        <v>62</v>
      </c>
      <c r="K62" s="27">
        <v>1</v>
      </c>
      <c r="L62" s="27">
        <v>0</v>
      </c>
      <c r="M62" s="27">
        <v>0</v>
      </c>
      <c r="N62" s="27">
        <v>2</v>
      </c>
      <c r="O62" s="27">
        <v>0</v>
      </c>
      <c r="P62" s="27">
        <v>10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  <c r="V62" s="27">
        <v>0</v>
      </c>
      <c r="W62" s="24"/>
      <c r="X62" s="28" t="s">
        <v>53</v>
      </c>
      <c r="Y62" s="18"/>
    </row>
    <row r="63" spans="1:25" ht="15" customHeight="1" thickBot="1">
      <c r="A63" s="33" t="s">
        <v>115</v>
      </c>
      <c r="B63" s="26" t="s">
        <v>8</v>
      </c>
      <c r="C63" s="26" t="s">
        <v>46</v>
      </c>
      <c r="D63" s="26" t="s">
        <v>47</v>
      </c>
      <c r="E63" s="26" t="s">
        <v>8</v>
      </c>
      <c r="F63" s="26" t="s">
        <v>48</v>
      </c>
      <c r="G63" s="26" t="s">
        <v>49</v>
      </c>
      <c r="H63" s="26" t="s">
        <v>50</v>
      </c>
      <c r="I63" s="26" t="s">
        <v>116</v>
      </c>
      <c r="J63" s="26" t="s">
        <v>117</v>
      </c>
      <c r="K63" s="27">
        <v>12</v>
      </c>
      <c r="L63" s="27">
        <v>14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  <c r="V63" s="27">
        <v>0</v>
      </c>
      <c r="W63" s="24"/>
      <c r="X63" s="34" t="s">
        <v>53</v>
      </c>
      <c r="Y63" s="18"/>
    </row>
    <row r="64" spans="1:25" ht="15" customHeight="1" thickBot="1">
      <c r="A64" s="29"/>
      <c r="B64" s="44" t="s">
        <v>118</v>
      </c>
      <c r="C64" s="45"/>
      <c r="D64" s="45"/>
      <c r="E64" s="45"/>
      <c r="F64" s="45"/>
      <c r="G64" s="45"/>
      <c r="H64" s="45"/>
      <c r="I64" s="45"/>
      <c r="J64" s="46"/>
      <c r="K64" s="30">
        <f t="shared" ref="K64:V64" si="12">SUM(K62:K63)</f>
        <v>13</v>
      </c>
      <c r="L64" s="30">
        <f t="shared" si="12"/>
        <v>14</v>
      </c>
      <c r="M64" s="30">
        <f t="shared" si="12"/>
        <v>0</v>
      </c>
      <c r="N64" s="30">
        <f t="shared" si="12"/>
        <v>2</v>
      </c>
      <c r="O64" s="30">
        <f t="shared" si="12"/>
        <v>0</v>
      </c>
      <c r="P64" s="30">
        <f t="shared" si="12"/>
        <v>10</v>
      </c>
      <c r="Q64" s="30">
        <f t="shared" si="12"/>
        <v>0</v>
      </c>
      <c r="R64" s="30">
        <f t="shared" si="12"/>
        <v>0</v>
      </c>
      <c r="S64" s="30">
        <f t="shared" si="12"/>
        <v>0</v>
      </c>
      <c r="T64" s="30">
        <f t="shared" si="12"/>
        <v>0</v>
      </c>
      <c r="U64" s="30">
        <f t="shared" si="12"/>
        <v>0</v>
      </c>
      <c r="V64" s="30">
        <f t="shared" si="12"/>
        <v>0</v>
      </c>
      <c r="W64" s="24"/>
      <c r="X64" s="31"/>
    </row>
    <row r="65" spans="1:25" ht="15" customHeight="1">
      <c r="A65" s="25" t="s">
        <v>119</v>
      </c>
      <c r="B65" s="26" t="s">
        <v>8</v>
      </c>
      <c r="C65" s="26" t="s">
        <v>46</v>
      </c>
      <c r="D65" s="26" t="s">
        <v>47</v>
      </c>
      <c r="E65" s="26" t="s">
        <v>8</v>
      </c>
      <c r="F65" s="26" t="s">
        <v>59</v>
      </c>
      <c r="G65" s="26" t="s">
        <v>49</v>
      </c>
      <c r="H65" s="26" t="s">
        <v>60</v>
      </c>
      <c r="I65" s="26" t="s">
        <v>61</v>
      </c>
      <c r="J65" s="26" t="s">
        <v>62</v>
      </c>
      <c r="K65" s="27">
        <v>0.5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  <c r="V65" s="27">
        <v>0</v>
      </c>
      <c r="W65" s="24"/>
      <c r="X65" s="28" t="s">
        <v>53</v>
      </c>
      <c r="Y65" s="18"/>
    </row>
    <row r="66" spans="1:25" ht="15" customHeight="1">
      <c r="A66" s="33" t="s">
        <v>119</v>
      </c>
      <c r="B66" s="26" t="s">
        <v>8</v>
      </c>
      <c r="C66" s="26" t="s">
        <v>120</v>
      </c>
      <c r="D66" s="26" t="s">
        <v>47</v>
      </c>
      <c r="E66" s="26" t="s">
        <v>8</v>
      </c>
      <c r="F66" s="26" t="s">
        <v>48</v>
      </c>
      <c r="G66" s="26" t="s">
        <v>49</v>
      </c>
      <c r="H66" s="26" t="s">
        <v>121</v>
      </c>
      <c r="I66" s="26" t="s">
        <v>122</v>
      </c>
      <c r="J66" s="26" t="s">
        <v>123</v>
      </c>
      <c r="K66" s="27">
        <v>0.5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 s="27">
        <v>0</v>
      </c>
      <c r="V66" s="27">
        <v>0</v>
      </c>
      <c r="W66" s="24"/>
      <c r="X66" s="34" t="s">
        <v>53</v>
      </c>
      <c r="Y66" s="18"/>
    </row>
    <row r="67" spans="1:25" ht="15" customHeight="1">
      <c r="A67" s="33" t="s">
        <v>119</v>
      </c>
      <c r="B67" s="26" t="s">
        <v>8</v>
      </c>
      <c r="C67" s="26" t="s">
        <v>124</v>
      </c>
      <c r="D67" s="26" t="s">
        <v>47</v>
      </c>
      <c r="E67" s="26" t="s">
        <v>8</v>
      </c>
      <c r="F67" s="26" t="s">
        <v>125</v>
      </c>
      <c r="G67" s="26" t="s">
        <v>49</v>
      </c>
      <c r="H67" s="26" t="s">
        <v>67</v>
      </c>
      <c r="I67" s="26" t="s">
        <v>126</v>
      </c>
      <c r="J67" s="26" t="s">
        <v>127</v>
      </c>
      <c r="K67" s="27">
        <v>3</v>
      </c>
      <c r="L67" s="27">
        <v>4</v>
      </c>
      <c r="M67" s="27">
        <v>2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  <c r="V67" s="27">
        <v>0</v>
      </c>
      <c r="W67" s="24"/>
      <c r="X67" s="34" t="s">
        <v>53</v>
      </c>
      <c r="Y67" s="18"/>
    </row>
    <row r="68" spans="1:25" ht="15" customHeight="1">
      <c r="A68" s="33" t="s">
        <v>119</v>
      </c>
      <c r="B68" s="26" t="s">
        <v>8</v>
      </c>
      <c r="C68" s="26" t="s">
        <v>124</v>
      </c>
      <c r="D68" s="26" t="s">
        <v>47</v>
      </c>
      <c r="E68" s="26" t="s">
        <v>8</v>
      </c>
      <c r="F68" s="26" t="s">
        <v>125</v>
      </c>
      <c r="G68" s="26" t="s">
        <v>49</v>
      </c>
      <c r="H68" s="26" t="s">
        <v>67</v>
      </c>
      <c r="I68" s="26" t="s">
        <v>128</v>
      </c>
      <c r="J68" s="26" t="s">
        <v>129</v>
      </c>
      <c r="K68" s="27">
        <v>1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  <c r="V68" s="27">
        <v>0</v>
      </c>
      <c r="W68" s="24"/>
      <c r="X68" s="34" t="s">
        <v>53</v>
      </c>
      <c r="Y68" s="18"/>
    </row>
    <row r="69" spans="1:25" ht="15" customHeight="1" thickBot="1">
      <c r="A69" s="33" t="s">
        <v>119</v>
      </c>
      <c r="B69" s="26" t="s">
        <v>8</v>
      </c>
      <c r="C69" s="26" t="s">
        <v>124</v>
      </c>
      <c r="D69" s="26" t="s">
        <v>47</v>
      </c>
      <c r="E69" s="26" t="s">
        <v>8</v>
      </c>
      <c r="F69" s="26" t="s">
        <v>125</v>
      </c>
      <c r="G69" s="26" t="s">
        <v>49</v>
      </c>
      <c r="H69" s="26" t="s">
        <v>67</v>
      </c>
      <c r="I69" s="26" t="s">
        <v>130</v>
      </c>
      <c r="J69" s="26" t="s">
        <v>131</v>
      </c>
      <c r="K69" s="27">
        <v>5</v>
      </c>
      <c r="L69" s="27">
        <v>5</v>
      </c>
      <c r="M69" s="27">
        <v>5</v>
      </c>
      <c r="N69" s="27">
        <v>1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  <c r="V69" s="27">
        <v>0</v>
      </c>
      <c r="W69" s="24"/>
      <c r="X69" s="34" t="s">
        <v>53</v>
      </c>
      <c r="Y69" s="18"/>
    </row>
    <row r="70" spans="1:25" ht="15" customHeight="1" thickBot="1">
      <c r="A70" s="29"/>
      <c r="B70" s="44" t="s">
        <v>132</v>
      </c>
      <c r="C70" s="45"/>
      <c r="D70" s="45"/>
      <c r="E70" s="45"/>
      <c r="F70" s="45"/>
      <c r="G70" s="45"/>
      <c r="H70" s="45"/>
      <c r="I70" s="45"/>
      <c r="J70" s="46"/>
      <c r="K70" s="30">
        <f t="shared" ref="K70:V70" si="13">SUM(K65:K69)</f>
        <v>10</v>
      </c>
      <c r="L70" s="30">
        <f t="shared" si="13"/>
        <v>9</v>
      </c>
      <c r="M70" s="30">
        <f t="shared" si="13"/>
        <v>7</v>
      </c>
      <c r="N70" s="30">
        <f t="shared" si="13"/>
        <v>1</v>
      </c>
      <c r="O70" s="30">
        <f t="shared" si="13"/>
        <v>0</v>
      </c>
      <c r="P70" s="30">
        <f t="shared" si="13"/>
        <v>0</v>
      </c>
      <c r="Q70" s="30">
        <f t="shared" si="13"/>
        <v>0</v>
      </c>
      <c r="R70" s="30">
        <f t="shared" si="13"/>
        <v>0</v>
      </c>
      <c r="S70" s="30">
        <f t="shared" si="13"/>
        <v>0</v>
      </c>
      <c r="T70" s="30">
        <f t="shared" si="13"/>
        <v>0</v>
      </c>
      <c r="U70" s="30">
        <f t="shared" si="13"/>
        <v>0</v>
      </c>
      <c r="V70" s="30">
        <f t="shared" si="13"/>
        <v>0</v>
      </c>
      <c r="W70" s="24"/>
      <c r="X70" s="31"/>
    </row>
    <row r="71" spans="1:25" ht="15" customHeight="1">
      <c r="A71" s="25" t="s">
        <v>133</v>
      </c>
      <c r="B71" s="26" t="s">
        <v>8</v>
      </c>
      <c r="C71" s="26" t="s">
        <v>46</v>
      </c>
      <c r="D71" s="26" t="s">
        <v>47</v>
      </c>
      <c r="E71" s="26" t="s">
        <v>8</v>
      </c>
      <c r="F71" s="26" t="s">
        <v>59</v>
      </c>
      <c r="G71" s="26" t="s">
        <v>49</v>
      </c>
      <c r="H71" s="26" t="s">
        <v>60</v>
      </c>
      <c r="I71" s="26" t="s">
        <v>61</v>
      </c>
      <c r="J71" s="26" t="s">
        <v>62</v>
      </c>
      <c r="K71" s="27">
        <v>1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  <c r="V71" s="27">
        <v>0</v>
      </c>
      <c r="W71" s="24"/>
      <c r="X71" s="28" t="s">
        <v>53</v>
      </c>
      <c r="Y71" s="18"/>
    </row>
    <row r="72" spans="1:25" ht="15" customHeight="1">
      <c r="A72" s="33" t="s">
        <v>133</v>
      </c>
      <c r="B72" s="26" t="s">
        <v>8</v>
      </c>
      <c r="C72" s="26" t="s">
        <v>46</v>
      </c>
      <c r="D72" s="26" t="s">
        <v>47</v>
      </c>
      <c r="E72" s="26" t="s">
        <v>8</v>
      </c>
      <c r="F72" s="26" t="s">
        <v>48</v>
      </c>
      <c r="G72" s="26" t="s">
        <v>49</v>
      </c>
      <c r="H72" s="26" t="s">
        <v>60</v>
      </c>
      <c r="I72" s="26" t="s">
        <v>79</v>
      </c>
      <c r="J72" s="26" t="s">
        <v>80</v>
      </c>
      <c r="K72" s="27">
        <v>0.5</v>
      </c>
      <c r="L72" s="27">
        <v>0.5</v>
      </c>
      <c r="M72" s="27">
        <v>0.5</v>
      </c>
      <c r="N72" s="27">
        <v>0.5</v>
      </c>
      <c r="O72" s="27">
        <v>0.5</v>
      </c>
      <c r="P72" s="27">
        <v>0.5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  <c r="V72" s="27">
        <v>1</v>
      </c>
      <c r="W72" s="24"/>
      <c r="X72" s="34" t="s">
        <v>53</v>
      </c>
      <c r="Y72" s="18"/>
    </row>
    <row r="73" spans="1:25" ht="15" customHeight="1">
      <c r="A73" s="33" t="s">
        <v>133</v>
      </c>
      <c r="B73" s="26" t="s">
        <v>8</v>
      </c>
      <c r="C73" s="26" t="s">
        <v>81</v>
      </c>
      <c r="D73" s="26" t="s">
        <v>47</v>
      </c>
      <c r="E73" s="26" t="s">
        <v>8</v>
      </c>
      <c r="F73" s="26" t="s">
        <v>66</v>
      </c>
      <c r="G73" s="26" t="s">
        <v>49</v>
      </c>
      <c r="H73" s="26" t="s">
        <v>121</v>
      </c>
      <c r="I73" s="26" t="s">
        <v>134</v>
      </c>
      <c r="J73" s="26" t="s">
        <v>135</v>
      </c>
      <c r="K73" s="27">
        <v>4</v>
      </c>
      <c r="L73" s="27">
        <v>4</v>
      </c>
      <c r="M73" s="27">
        <v>4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  <c r="V73" s="27">
        <v>0</v>
      </c>
      <c r="W73" s="24"/>
      <c r="X73" s="34" t="s">
        <v>53</v>
      </c>
      <c r="Y73" s="18"/>
    </row>
    <row r="74" spans="1:25" ht="15" customHeight="1">
      <c r="A74" s="33" t="s">
        <v>133</v>
      </c>
      <c r="B74" s="26" t="s">
        <v>8</v>
      </c>
      <c r="C74" s="26" t="s">
        <v>81</v>
      </c>
      <c r="D74" s="26" t="s">
        <v>47</v>
      </c>
      <c r="E74" s="26" t="s">
        <v>8</v>
      </c>
      <c r="F74" s="26" t="s">
        <v>66</v>
      </c>
      <c r="G74" s="26" t="s">
        <v>49</v>
      </c>
      <c r="H74" s="26" t="s">
        <v>67</v>
      </c>
      <c r="I74" s="26" t="s">
        <v>82</v>
      </c>
      <c r="J74" s="26" t="s">
        <v>83</v>
      </c>
      <c r="K74" s="27">
        <v>10</v>
      </c>
      <c r="L74" s="27">
        <v>10</v>
      </c>
      <c r="M74" s="27">
        <v>10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  <c r="V74" s="27">
        <v>0</v>
      </c>
      <c r="W74" s="24"/>
      <c r="X74" s="34" t="s">
        <v>53</v>
      </c>
      <c r="Y74" s="18"/>
    </row>
    <row r="75" spans="1:25" ht="15" customHeight="1" thickBot="1">
      <c r="A75" s="33" t="s">
        <v>133</v>
      </c>
      <c r="B75" s="26" t="s">
        <v>8</v>
      </c>
      <c r="C75" s="26" t="s">
        <v>81</v>
      </c>
      <c r="D75" s="26" t="s">
        <v>47</v>
      </c>
      <c r="E75" s="26" t="s">
        <v>8</v>
      </c>
      <c r="F75" s="26" t="s">
        <v>66</v>
      </c>
      <c r="G75" s="26" t="s">
        <v>49</v>
      </c>
      <c r="H75" s="26" t="s">
        <v>67</v>
      </c>
      <c r="I75" s="26" t="s">
        <v>136</v>
      </c>
      <c r="J75" s="26" t="s">
        <v>137</v>
      </c>
      <c r="K75" s="27">
        <v>1</v>
      </c>
      <c r="L75" s="27">
        <v>1</v>
      </c>
      <c r="M75" s="27">
        <v>1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4"/>
      <c r="X75" s="34" t="s">
        <v>53</v>
      </c>
      <c r="Y75" s="18"/>
    </row>
    <row r="76" spans="1:25" ht="15" customHeight="1" thickBot="1">
      <c r="A76" s="29"/>
      <c r="B76" s="44" t="s">
        <v>138</v>
      </c>
      <c r="C76" s="45"/>
      <c r="D76" s="45"/>
      <c r="E76" s="45"/>
      <c r="F76" s="45"/>
      <c r="G76" s="45"/>
      <c r="H76" s="45"/>
      <c r="I76" s="45"/>
      <c r="J76" s="46"/>
      <c r="K76" s="30">
        <f t="shared" ref="K76:V76" si="14">SUM(K71:K75)</f>
        <v>16.5</v>
      </c>
      <c r="L76" s="30">
        <f t="shared" si="14"/>
        <v>15.5</v>
      </c>
      <c r="M76" s="30">
        <f t="shared" si="14"/>
        <v>15.5</v>
      </c>
      <c r="N76" s="30">
        <f t="shared" si="14"/>
        <v>0.5</v>
      </c>
      <c r="O76" s="30">
        <f t="shared" si="14"/>
        <v>0.5</v>
      </c>
      <c r="P76" s="30">
        <f t="shared" si="14"/>
        <v>0.5</v>
      </c>
      <c r="Q76" s="30">
        <f t="shared" si="14"/>
        <v>0</v>
      </c>
      <c r="R76" s="30">
        <f t="shared" si="14"/>
        <v>0</v>
      </c>
      <c r="S76" s="30">
        <f t="shared" si="14"/>
        <v>0</v>
      </c>
      <c r="T76" s="30">
        <f t="shared" si="14"/>
        <v>0</v>
      </c>
      <c r="U76" s="30">
        <f t="shared" si="14"/>
        <v>0</v>
      </c>
      <c r="V76" s="30">
        <f t="shared" si="14"/>
        <v>1</v>
      </c>
      <c r="W76" s="24"/>
      <c r="X76" s="31"/>
    </row>
    <row r="77" spans="1:25" ht="15" customHeight="1" thickBot="1">
      <c r="A77" s="25" t="s">
        <v>139</v>
      </c>
      <c r="B77" s="26" t="s">
        <v>76</v>
      </c>
      <c r="C77" s="26" t="s">
        <v>49</v>
      </c>
      <c r="D77" s="26" t="s">
        <v>49</v>
      </c>
      <c r="E77" s="26" t="s">
        <v>49</v>
      </c>
      <c r="F77" s="26" t="s">
        <v>49</v>
      </c>
      <c r="G77" s="26" t="s">
        <v>49</v>
      </c>
      <c r="H77" s="26" t="s">
        <v>49</v>
      </c>
      <c r="I77" s="26" t="s">
        <v>49</v>
      </c>
      <c r="J77" s="32" t="s">
        <v>100</v>
      </c>
      <c r="K77" s="27">
        <v>40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  <c r="V77" s="27">
        <v>0</v>
      </c>
      <c r="W77" s="24"/>
      <c r="X77" s="28"/>
      <c r="Y77" s="18"/>
    </row>
    <row r="78" spans="1:25" ht="15" customHeight="1" thickBot="1">
      <c r="A78" s="29"/>
      <c r="B78" s="44" t="s">
        <v>140</v>
      </c>
      <c r="C78" s="45"/>
      <c r="D78" s="45"/>
      <c r="E78" s="45"/>
      <c r="F78" s="45"/>
      <c r="G78" s="45"/>
      <c r="H78" s="45"/>
      <c r="I78" s="45"/>
      <c r="J78" s="46"/>
      <c r="K78" s="37">
        <f t="shared" ref="K78:V78" si="15">SUM(K77:K77)</f>
        <v>40</v>
      </c>
      <c r="L78" s="30">
        <f t="shared" si="15"/>
        <v>0</v>
      </c>
      <c r="M78" s="30">
        <f t="shared" si="15"/>
        <v>0</v>
      </c>
      <c r="N78" s="30">
        <f t="shared" si="15"/>
        <v>0</v>
      </c>
      <c r="O78" s="30">
        <f t="shared" si="15"/>
        <v>0</v>
      </c>
      <c r="P78" s="30">
        <f t="shared" si="15"/>
        <v>0</v>
      </c>
      <c r="Q78" s="30">
        <f t="shared" si="15"/>
        <v>0</v>
      </c>
      <c r="R78" s="30">
        <f t="shared" si="15"/>
        <v>0</v>
      </c>
      <c r="S78" s="30">
        <f t="shared" si="15"/>
        <v>0</v>
      </c>
      <c r="T78" s="30">
        <f t="shared" si="15"/>
        <v>0</v>
      </c>
      <c r="U78" s="30">
        <f t="shared" si="15"/>
        <v>0</v>
      </c>
      <c r="V78" s="30">
        <f t="shared" si="15"/>
        <v>0</v>
      </c>
      <c r="W78" s="24"/>
      <c r="X78" s="31"/>
    </row>
    <row r="79" spans="1:25" ht="15" customHeight="1" thickBot="1">
      <c r="A79" s="25" t="s">
        <v>141</v>
      </c>
      <c r="B79" s="26" t="s">
        <v>142</v>
      </c>
      <c r="C79" s="26" t="s">
        <v>49</v>
      </c>
      <c r="D79" s="26" t="s">
        <v>49</v>
      </c>
      <c r="E79" s="26" t="s">
        <v>49</v>
      </c>
      <c r="F79" s="26" t="s">
        <v>49</v>
      </c>
      <c r="G79" s="26" t="s">
        <v>49</v>
      </c>
      <c r="H79" s="26" t="s">
        <v>49</v>
      </c>
      <c r="I79" s="26" t="s">
        <v>49</v>
      </c>
      <c r="J79" s="32" t="s">
        <v>100</v>
      </c>
      <c r="K79" s="27">
        <v>2.5</v>
      </c>
      <c r="L79" s="27">
        <v>2.5</v>
      </c>
      <c r="M79" s="27">
        <v>2.5</v>
      </c>
      <c r="N79" s="27">
        <v>2.5</v>
      </c>
      <c r="O79" s="27">
        <v>2.5</v>
      </c>
      <c r="P79" s="27">
        <v>2.5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  <c r="V79" s="27">
        <v>0</v>
      </c>
      <c r="W79" s="24"/>
      <c r="X79" s="28"/>
      <c r="Y79" s="18"/>
    </row>
    <row r="80" spans="1:25" ht="15" customHeight="1" thickBot="1">
      <c r="A80" s="29"/>
      <c r="B80" s="44" t="s">
        <v>143</v>
      </c>
      <c r="C80" s="45"/>
      <c r="D80" s="45"/>
      <c r="E80" s="45"/>
      <c r="F80" s="45"/>
      <c r="G80" s="45"/>
      <c r="H80" s="45"/>
      <c r="I80" s="45"/>
      <c r="J80" s="46"/>
      <c r="K80" s="30">
        <f t="shared" ref="K80:V80" si="16">SUM(K79:K79)</f>
        <v>2.5</v>
      </c>
      <c r="L80" s="30">
        <f t="shared" si="16"/>
        <v>2.5</v>
      </c>
      <c r="M80" s="30">
        <f t="shared" si="16"/>
        <v>2.5</v>
      </c>
      <c r="N80" s="30">
        <f t="shared" si="16"/>
        <v>2.5</v>
      </c>
      <c r="O80" s="30">
        <f t="shared" si="16"/>
        <v>2.5</v>
      </c>
      <c r="P80" s="30">
        <f t="shared" si="16"/>
        <v>2.5</v>
      </c>
      <c r="Q80" s="30">
        <f t="shared" si="16"/>
        <v>0</v>
      </c>
      <c r="R80" s="30">
        <f t="shared" si="16"/>
        <v>0</v>
      </c>
      <c r="S80" s="30">
        <f t="shared" si="16"/>
        <v>0</v>
      </c>
      <c r="T80" s="30">
        <f t="shared" si="16"/>
        <v>0</v>
      </c>
      <c r="U80" s="30">
        <f t="shared" si="16"/>
        <v>0</v>
      </c>
      <c r="V80" s="30">
        <f t="shared" si="16"/>
        <v>0</v>
      </c>
      <c r="W80" s="24"/>
      <c r="X80" s="31"/>
    </row>
    <row r="81" spans="1:25" ht="15" customHeight="1">
      <c r="A81" s="25" t="s">
        <v>144</v>
      </c>
      <c r="B81" s="26" t="s">
        <v>8</v>
      </c>
      <c r="C81" s="26" t="s">
        <v>46</v>
      </c>
      <c r="D81" s="26" t="s">
        <v>47</v>
      </c>
      <c r="E81" s="26" t="s">
        <v>8</v>
      </c>
      <c r="F81" s="26" t="s">
        <v>48</v>
      </c>
      <c r="G81" s="26" t="s">
        <v>49</v>
      </c>
      <c r="H81" s="26" t="s">
        <v>60</v>
      </c>
      <c r="I81" s="26" t="s">
        <v>108</v>
      </c>
      <c r="J81" s="26" t="s">
        <v>109</v>
      </c>
      <c r="K81" s="27">
        <v>2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  <c r="V81" s="27">
        <v>0</v>
      </c>
      <c r="W81" s="24"/>
      <c r="X81" s="28" t="s">
        <v>53</v>
      </c>
      <c r="Y81" s="18"/>
    </row>
    <row r="82" spans="1:25" ht="15" customHeight="1">
      <c r="A82" s="33" t="s">
        <v>144</v>
      </c>
      <c r="B82" s="26" t="s">
        <v>8</v>
      </c>
      <c r="C82" s="26" t="s">
        <v>46</v>
      </c>
      <c r="D82" s="26" t="s">
        <v>47</v>
      </c>
      <c r="E82" s="26" t="s">
        <v>8</v>
      </c>
      <c r="F82" s="26" t="s">
        <v>59</v>
      </c>
      <c r="G82" s="26" t="s">
        <v>49</v>
      </c>
      <c r="H82" s="26" t="s">
        <v>60</v>
      </c>
      <c r="I82" s="26" t="s">
        <v>61</v>
      </c>
      <c r="J82" s="26" t="s">
        <v>62</v>
      </c>
      <c r="K82" s="27">
        <v>1</v>
      </c>
      <c r="L82" s="27">
        <v>0</v>
      </c>
      <c r="M82" s="27">
        <v>2</v>
      </c>
      <c r="N82" s="27">
        <v>2</v>
      </c>
      <c r="O82" s="27">
        <v>0</v>
      </c>
      <c r="P82" s="27">
        <v>0</v>
      </c>
      <c r="Q82" s="27">
        <v>0</v>
      </c>
      <c r="R82" s="27">
        <v>10</v>
      </c>
      <c r="S82" s="27">
        <v>0</v>
      </c>
      <c r="T82" s="27">
        <v>0</v>
      </c>
      <c r="U82" s="27">
        <v>0</v>
      </c>
      <c r="V82" s="27">
        <v>0</v>
      </c>
      <c r="W82" s="24"/>
      <c r="X82" s="34" t="s">
        <v>53</v>
      </c>
      <c r="Y82" s="18"/>
    </row>
    <row r="83" spans="1:25" ht="15" customHeight="1">
      <c r="A83" s="33" t="s">
        <v>144</v>
      </c>
      <c r="B83" s="26" t="s">
        <v>8</v>
      </c>
      <c r="C83" s="26" t="s">
        <v>46</v>
      </c>
      <c r="D83" s="26" t="s">
        <v>47</v>
      </c>
      <c r="E83" s="26" t="s">
        <v>8</v>
      </c>
      <c r="F83" s="26" t="s">
        <v>48</v>
      </c>
      <c r="G83" s="26" t="s">
        <v>49</v>
      </c>
      <c r="H83" s="26" t="s">
        <v>60</v>
      </c>
      <c r="I83" s="26" t="s">
        <v>79</v>
      </c>
      <c r="J83" s="26" t="s">
        <v>80</v>
      </c>
      <c r="K83" s="27">
        <v>0.5</v>
      </c>
      <c r="L83" s="27">
        <v>0.5</v>
      </c>
      <c r="M83" s="27">
        <v>0.5</v>
      </c>
      <c r="N83" s="27">
        <v>0.5</v>
      </c>
      <c r="O83" s="27">
        <v>0.5</v>
      </c>
      <c r="P83" s="27">
        <v>0.5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  <c r="V83" s="27">
        <v>1</v>
      </c>
      <c r="W83" s="24"/>
      <c r="X83" s="34" t="s">
        <v>53</v>
      </c>
      <c r="Y83" s="18"/>
    </row>
    <row r="84" spans="1:25" ht="15" customHeight="1">
      <c r="A84" s="33" t="s">
        <v>144</v>
      </c>
      <c r="B84" s="26" t="s">
        <v>8</v>
      </c>
      <c r="C84" s="26" t="s">
        <v>46</v>
      </c>
      <c r="D84" s="26" t="s">
        <v>47</v>
      </c>
      <c r="E84" s="26" t="s">
        <v>8</v>
      </c>
      <c r="F84" s="26" t="s">
        <v>48</v>
      </c>
      <c r="G84" s="26" t="s">
        <v>49</v>
      </c>
      <c r="H84" s="26" t="s">
        <v>50</v>
      </c>
      <c r="I84" s="26" t="s">
        <v>51</v>
      </c>
      <c r="J84" s="26" t="s">
        <v>52</v>
      </c>
      <c r="K84" s="27">
        <v>2</v>
      </c>
      <c r="L84" s="27">
        <v>3</v>
      </c>
      <c r="M84" s="27">
        <v>3</v>
      </c>
      <c r="N84" s="27">
        <v>3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  <c r="V84" s="27">
        <v>0</v>
      </c>
      <c r="W84" s="24"/>
      <c r="X84" s="34" t="s">
        <v>53</v>
      </c>
      <c r="Y84" s="18"/>
    </row>
    <row r="85" spans="1:25" ht="15" customHeight="1">
      <c r="A85" s="33" t="s">
        <v>144</v>
      </c>
      <c r="B85" s="26" t="s">
        <v>8</v>
      </c>
      <c r="C85" s="26" t="s">
        <v>65</v>
      </c>
      <c r="D85" s="26" t="s">
        <v>47</v>
      </c>
      <c r="E85" s="26" t="s">
        <v>8</v>
      </c>
      <c r="F85" s="26" t="s">
        <v>66</v>
      </c>
      <c r="G85" s="26" t="s">
        <v>49</v>
      </c>
      <c r="H85" s="26" t="s">
        <v>67</v>
      </c>
      <c r="I85" s="26" t="s">
        <v>110</v>
      </c>
      <c r="J85" s="26" t="s">
        <v>111</v>
      </c>
      <c r="K85" s="27">
        <v>6</v>
      </c>
      <c r="L85" s="27">
        <v>6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  <c r="V85" s="27">
        <v>0</v>
      </c>
      <c r="W85" s="24"/>
      <c r="X85" s="34" t="s">
        <v>53</v>
      </c>
      <c r="Y85" s="18"/>
    </row>
    <row r="86" spans="1:25" ht="15" customHeight="1">
      <c r="A86" s="33" t="s">
        <v>144</v>
      </c>
      <c r="B86" s="26" t="s">
        <v>8</v>
      </c>
      <c r="C86" s="26" t="s">
        <v>65</v>
      </c>
      <c r="D86" s="26" t="s">
        <v>47</v>
      </c>
      <c r="E86" s="26" t="s">
        <v>8</v>
      </c>
      <c r="F86" s="26" t="s">
        <v>66</v>
      </c>
      <c r="G86" s="26" t="s">
        <v>49</v>
      </c>
      <c r="H86" s="26" t="s">
        <v>67</v>
      </c>
      <c r="I86" s="26" t="s">
        <v>68</v>
      </c>
      <c r="J86" s="26" t="s">
        <v>69</v>
      </c>
      <c r="K86" s="27">
        <v>1</v>
      </c>
      <c r="L86" s="27">
        <v>1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  <c r="V86" s="27">
        <v>0</v>
      </c>
      <c r="W86" s="24"/>
      <c r="X86" s="34" t="s">
        <v>53</v>
      </c>
      <c r="Y86" s="18"/>
    </row>
    <row r="87" spans="1:25" ht="15" customHeight="1" thickBot="1">
      <c r="A87" s="33" t="s">
        <v>144</v>
      </c>
      <c r="B87" s="26" t="s">
        <v>8</v>
      </c>
      <c r="C87" s="26" t="s">
        <v>46</v>
      </c>
      <c r="D87" s="26" t="s">
        <v>47</v>
      </c>
      <c r="E87" s="26" t="s">
        <v>8</v>
      </c>
      <c r="F87" s="26" t="s">
        <v>48</v>
      </c>
      <c r="G87" s="26" t="s">
        <v>49</v>
      </c>
      <c r="H87" s="26" t="s">
        <v>50</v>
      </c>
      <c r="I87" s="26" t="s">
        <v>145</v>
      </c>
      <c r="J87" s="26" t="s">
        <v>146</v>
      </c>
      <c r="K87" s="27">
        <v>0</v>
      </c>
      <c r="L87" s="27">
        <v>5</v>
      </c>
      <c r="M87" s="27">
        <v>5</v>
      </c>
      <c r="N87" s="27">
        <v>5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  <c r="V87" s="27">
        <v>0</v>
      </c>
      <c r="W87" s="24"/>
      <c r="X87" s="34" t="s">
        <v>53</v>
      </c>
      <c r="Y87" s="18"/>
    </row>
    <row r="88" spans="1:25" ht="15" customHeight="1" thickBot="1">
      <c r="A88" s="29"/>
      <c r="B88" s="44" t="s">
        <v>147</v>
      </c>
      <c r="C88" s="45"/>
      <c r="D88" s="45"/>
      <c r="E88" s="45"/>
      <c r="F88" s="45"/>
      <c r="G88" s="45"/>
      <c r="H88" s="45"/>
      <c r="I88" s="45"/>
      <c r="J88" s="46"/>
      <c r="K88" s="30">
        <f t="shared" ref="K88:V88" si="17">SUM(K81:K87)</f>
        <v>12.5</v>
      </c>
      <c r="L88" s="30">
        <f t="shared" si="17"/>
        <v>15.5</v>
      </c>
      <c r="M88" s="30">
        <f t="shared" si="17"/>
        <v>10.5</v>
      </c>
      <c r="N88" s="30">
        <f t="shared" si="17"/>
        <v>10.5</v>
      </c>
      <c r="O88" s="30">
        <f t="shared" si="17"/>
        <v>0.5</v>
      </c>
      <c r="P88" s="30">
        <f t="shared" si="17"/>
        <v>0.5</v>
      </c>
      <c r="Q88" s="30">
        <f t="shared" si="17"/>
        <v>0</v>
      </c>
      <c r="R88" s="30">
        <f t="shared" si="17"/>
        <v>10</v>
      </c>
      <c r="S88" s="30">
        <f t="shared" si="17"/>
        <v>0</v>
      </c>
      <c r="T88" s="30">
        <f t="shared" si="17"/>
        <v>0</v>
      </c>
      <c r="U88" s="30">
        <f t="shared" si="17"/>
        <v>0</v>
      </c>
      <c r="V88" s="30">
        <f t="shared" si="17"/>
        <v>1</v>
      </c>
      <c r="W88" s="24"/>
      <c r="X88" s="31"/>
    </row>
    <row r="89" spans="1:25" ht="15" customHeight="1">
      <c r="A89" s="25" t="s">
        <v>148</v>
      </c>
      <c r="B89" s="26" t="s">
        <v>8</v>
      </c>
      <c r="C89" s="26" t="s">
        <v>46</v>
      </c>
      <c r="D89" s="26" t="s">
        <v>47</v>
      </c>
      <c r="E89" s="26" t="s">
        <v>8</v>
      </c>
      <c r="F89" s="26" t="s">
        <v>59</v>
      </c>
      <c r="G89" s="26" t="s">
        <v>49</v>
      </c>
      <c r="H89" s="26" t="s">
        <v>60</v>
      </c>
      <c r="I89" s="26" t="s">
        <v>61</v>
      </c>
      <c r="J89" s="26" t="s">
        <v>62</v>
      </c>
      <c r="K89" s="27">
        <v>1</v>
      </c>
      <c r="L89" s="27">
        <v>0</v>
      </c>
      <c r="M89" s="27">
        <v>0</v>
      </c>
      <c r="N89" s="27">
        <v>2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  <c r="V89" s="27">
        <v>0</v>
      </c>
      <c r="W89" s="24"/>
      <c r="X89" s="28" t="s">
        <v>53</v>
      </c>
      <c r="Y89" s="18"/>
    </row>
    <row r="90" spans="1:25" ht="15" customHeight="1">
      <c r="A90" s="33" t="s">
        <v>148</v>
      </c>
      <c r="B90" s="26" t="s">
        <v>8</v>
      </c>
      <c r="C90" s="26" t="s">
        <v>46</v>
      </c>
      <c r="D90" s="26" t="s">
        <v>47</v>
      </c>
      <c r="E90" s="26" t="s">
        <v>8</v>
      </c>
      <c r="F90" s="26" t="s">
        <v>48</v>
      </c>
      <c r="G90" s="26" t="s">
        <v>49</v>
      </c>
      <c r="H90" s="26" t="s">
        <v>50</v>
      </c>
      <c r="I90" s="26" t="s">
        <v>116</v>
      </c>
      <c r="J90" s="26" t="s">
        <v>117</v>
      </c>
      <c r="K90" s="27">
        <v>12</v>
      </c>
      <c r="L90" s="27">
        <v>14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  <c r="V90" s="27">
        <v>0</v>
      </c>
      <c r="W90" s="24"/>
      <c r="X90" s="34" t="s">
        <v>53</v>
      </c>
      <c r="Y90" s="18"/>
    </row>
    <row r="91" spans="1:25" ht="15" customHeight="1">
      <c r="A91" s="33" t="s">
        <v>148</v>
      </c>
      <c r="B91" s="26" t="s">
        <v>8</v>
      </c>
      <c r="C91" s="26" t="s">
        <v>149</v>
      </c>
      <c r="D91" s="26" t="s">
        <v>47</v>
      </c>
      <c r="E91" s="26" t="s">
        <v>8</v>
      </c>
      <c r="F91" s="26" t="s">
        <v>66</v>
      </c>
      <c r="G91" s="26" t="s">
        <v>49</v>
      </c>
      <c r="H91" s="26" t="s">
        <v>121</v>
      </c>
      <c r="I91" s="26" t="s">
        <v>150</v>
      </c>
      <c r="J91" s="26" t="s">
        <v>151</v>
      </c>
      <c r="K91" s="27">
        <v>1.3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  <c r="V91" s="27">
        <v>0</v>
      </c>
      <c r="W91" s="24"/>
      <c r="X91" s="34" t="s">
        <v>53</v>
      </c>
      <c r="Y91" s="18"/>
    </row>
    <row r="92" spans="1:25" ht="15" customHeight="1" thickBot="1">
      <c r="A92" s="33" t="s">
        <v>148</v>
      </c>
      <c r="B92" s="26" t="s">
        <v>8</v>
      </c>
      <c r="C92" s="26" t="s">
        <v>81</v>
      </c>
      <c r="D92" s="26" t="s">
        <v>47</v>
      </c>
      <c r="E92" s="26" t="s">
        <v>8</v>
      </c>
      <c r="F92" s="26" t="s">
        <v>66</v>
      </c>
      <c r="G92" s="26" t="s">
        <v>49</v>
      </c>
      <c r="H92" s="26" t="s">
        <v>67</v>
      </c>
      <c r="I92" s="26" t="s">
        <v>152</v>
      </c>
      <c r="J92" s="26" t="s">
        <v>153</v>
      </c>
      <c r="K92" s="27">
        <v>0</v>
      </c>
      <c r="L92" s="27">
        <v>6</v>
      </c>
      <c r="M92" s="27">
        <v>5</v>
      </c>
      <c r="N92" s="27">
        <v>5</v>
      </c>
      <c r="O92" s="27">
        <v>5</v>
      </c>
      <c r="P92" s="27">
        <v>5</v>
      </c>
      <c r="Q92" s="27">
        <v>5</v>
      </c>
      <c r="R92" s="27">
        <v>5</v>
      </c>
      <c r="S92" s="27">
        <v>10</v>
      </c>
      <c r="T92" s="27">
        <v>0</v>
      </c>
      <c r="U92" s="27">
        <v>0</v>
      </c>
      <c r="V92" s="27">
        <v>0</v>
      </c>
      <c r="W92" s="24"/>
      <c r="X92" s="34" t="s">
        <v>53</v>
      </c>
      <c r="Y92" s="18"/>
    </row>
    <row r="93" spans="1:25" ht="15" customHeight="1" thickBot="1">
      <c r="A93" s="29"/>
      <c r="B93" s="44" t="s">
        <v>154</v>
      </c>
      <c r="C93" s="45"/>
      <c r="D93" s="45"/>
      <c r="E93" s="45"/>
      <c r="F93" s="45"/>
      <c r="G93" s="45"/>
      <c r="H93" s="45"/>
      <c r="I93" s="45"/>
      <c r="J93" s="46"/>
      <c r="K93" s="30">
        <f t="shared" ref="K93:V93" si="18">SUM(K89:K92)</f>
        <v>14.3</v>
      </c>
      <c r="L93" s="35">
        <f t="shared" si="18"/>
        <v>20</v>
      </c>
      <c r="M93" s="30">
        <f t="shared" si="18"/>
        <v>5</v>
      </c>
      <c r="N93" s="30">
        <f t="shared" si="18"/>
        <v>7</v>
      </c>
      <c r="O93" s="30">
        <f t="shared" si="18"/>
        <v>5</v>
      </c>
      <c r="P93" s="30">
        <f t="shared" si="18"/>
        <v>5</v>
      </c>
      <c r="Q93" s="30">
        <f t="shared" si="18"/>
        <v>5</v>
      </c>
      <c r="R93" s="30">
        <f t="shared" si="18"/>
        <v>5</v>
      </c>
      <c r="S93" s="30">
        <f t="shared" si="18"/>
        <v>10</v>
      </c>
      <c r="T93" s="30">
        <f t="shared" si="18"/>
        <v>0</v>
      </c>
      <c r="U93" s="30">
        <f t="shared" si="18"/>
        <v>0</v>
      </c>
      <c r="V93" s="30">
        <f t="shared" si="18"/>
        <v>0</v>
      </c>
      <c r="W93" s="24"/>
      <c r="X93" s="31"/>
    </row>
    <row r="94" spans="1:25" ht="15" customHeight="1">
      <c r="A94" s="25" t="s">
        <v>155</v>
      </c>
      <c r="B94" s="26" t="s">
        <v>8</v>
      </c>
      <c r="C94" s="26" t="s">
        <v>46</v>
      </c>
      <c r="D94" s="26" t="s">
        <v>47</v>
      </c>
      <c r="E94" s="26" t="s">
        <v>8</v>
      </c>
      <c r="F94" s="26" t="s">
        <v>59</v>
      </c>
      <c r="G94" s="26" t="s">
        <v>49</v>
      </c>
      <c r="H94" s="26" t="s">
        <v>60</v>
      </c>
      <c r="I94" s="26" t="s">
        <v>61</v>
      </c>
      <c r="J94" s="26" t="s">
        <v>62</v>
      </c>
      <c r="K94" s="27">
        <v>2</v>
      </c>
      <c r="L94" s="27">
        <v>0</v>
      </c>
      <c r="M94" s="27">
        <v>0</v>
      </c>
      <c r="N94" s="27">
        <v>0</v>
      </c>
      <c r="O94" s="27">
        <v>4</v>
      </c>
      <c r="P94" s="27">
        <v>11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  <c r="V94" s="27">
        <v>0</v>
      </c>
      <c r="W94" s="24"/>
      <c r="X94" s="28" t="s">
        <v>53</v>
      </c>
      <c r="Y94" s="18"/>
    </row>
    <row r="95" spans="1:25" ht="15" customHeight="1">
      <c r="A95" s="33" t="s">
        <v>155</v>
      </c>
      <c r="B95" s="26" t="s">
        <v>8</v>
      </c>
      <c r="C95" s="26" t="s">
        <v>46</v>
      </c>
      <c r="D95" s="26" t="s">
        <v>47</v>
      </c>
      <c r="E95" s="26" t="s">
        <v>8</v>
      </c>
      <c r="F95" s="26" t="s">
        <v>48</v>
      </c>
      <c r="G95" s="26" t="s">
        <v>49</v>
      </c>
      <c r="H95" s="26" t="s">
        <v>50</v>
      </c>
      <c r="I95" s="26" t="s">
        <v>63</v>
      </c>
      <c r="J95" s="26" t="s">
        <v>64</v>
      </c>
      <c r="K95" s="27">
        <v>6</v>
      </c>
      <c r="L95" s="27">
        <v>6</v>
      </c>
      <c r="M95" s="27">
        <v>6</v>
      </c>
      <c r="N95" s="27">
        <v>6</v>
      </c>
      <c r="O95" s="27">
        <v>6</v>
      </c>
      <c r="P95" s="27">
        <v>6</v>
      </c>
      <c r="Q95" s="27">
        <v>6</v>
      </c>
      <c r="R95" s="27">
        <v>6</v>
      </c>
      <c r="S95" s="27">
        <v>60</v>
      </c>
      <c r="T95" s="27">
        <v>6</v>
      </c>
      <c r="U95" s="27">
        <v>6</v>
      </c>
      <c r="V95" s="27">
        <v>6</v>
      </c>
      <c r="W95" s="24"/>
      <c r="X95" s="34" t="s">
        <v>53</v>
      </c>
      <c r="Y95" s="18"/>
    </row>
    <row r="96" spans="1:25" ht="15" customHeight="1">
      <c r="A96" s="33" t="s">
        <v>155</v>
      </c>
      <c r="B96" s="26" t="s">
        <v>8</v>
      </c>
      <c r="C96" s="26" t="s">
        <v>156</v>
      </c>
      <c r="D96" s="26" t="s">
        <v>47</v>
      </c>
      <c r="E96" s="26" t="s">
        <v>8</v>
      </c>
      <c r="F96" s="26" t="s">
        <v>66</v>
      </c>
      <c r="G96" s="26" t="s">
        <v>49</v>
      </c>
      <c r="H96" s="26" t="s">
        <v>121</v>
      </c>
      <c r="I96" s="26" t="s">
        <v>157</v>
      </c>
      <c r="J96" s="26" t="s">
        <v>158</v>
      </c>
      <c r="K96" s="27">
        <v>2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  <c r="V96" s="27">
        <v>0</v>
      </c>
      <c r="W96" s="24"/>
      <c r="X96" s="34" t="s">
        <v>53</v>
      </c>
      <c r="Y96" s="18"/>
    </row>
    <row r="97" spans="1:25" ht="15" customHeight="1">
      <c r="A97" s="33" t="s">
        <v>155</v>
      </c>
      <c r="B97" s="26" t="s">
        <v>8</v>
      </c>
      <c r="C97" s="26" t="s">
        <v>81</v>
      </c>
      <c r="D97" s="26" t="s">
        <v>47</v>
      </c>
      <c r="E97" s="26" t="s">
        <v>8</v>
      </c>
      <c r="F97" s="26" t="s">
        <v>66</v>
      </c>
      <c r="G97" s="26" t="s">
        <v>49</v>
      </c>
      <c r="H97" s="26" t="s">
        <v>67</v>
      </c>
      <c r="I97" s="26" t="s">
        <v>152</v>
      </c>
      <c r="J97" s="26" t="s">
        <v>153</v>
      </c>
      <c r="K97" s="27">
        <v>8</v>
      </c>
      <c r="L97" s="27">
        <v>10</v>
      </c>
      <c r="M97" s="27">
        <v>10</v>
      </c>
      <c r="N97" s="27">
        <v>4</v>
      </c>
      <c r="O97" s="27">
        <v>4</v>
      </c>
      <c r="P97" s="27">
        <v>4</v>
      </c>
      <c r="Q97" s="27">
        <v>4</v>
      </c>
      <c r="R97" s="27">
        <v>4</v>
      </c>
      <c r="S97" s="27">
        <v>10</v>
      </c>
      <c r="T97" s="27">
        <v>0</v>
      </c>
      <c r="U97" s="27">
        <v>0</v>
      </c>
      <c r="V97" s="27">
        <v>0</v>
      </c>
      <c r="W97" s="24"/>
      <c r="X97" s="34" t="s">
        <v>53</v>
      </c>
      <c r="Y97" s="18"/>
    </row>
    <row r="98" spans="1:25" ht="15" customHeight="1">
      <c r="A98" s="33" t="s">
        <v>155</v>
      </c>
      <c r="B98" s="26" t="s">
        <v>8</v>
      </c>
      <c r="C98" s="26" t="s">
        <v>124</v>
      </c>
      <c r="D98" s="26" t="s">
        <v>47</v>
      </c>
      <c r="E98" s="26" t="s">
        <v>8</v>
      </c>
      <c r="F98" s="26" t="s">
        <v>48</v>
      </c>
      <c r="G98" s="26" t="s">
        <v>49</v>
      </c>
      <c r="H98" s="26" t="s">
        <v>121</v>
      </c>
      <c r="I98" s="26" t="s">
        <v>159</v>
      </c>
      <c r="J98" s="26" t="s">
        <v>160</v>
      </c>
      <c r="K98" s="27">
        <v>3.8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  <c r="V98" s="27">
        <v>0</v>
      </c>
      <c r="W98" s="24"/>
      <c r="X98" s="34" t="s">
        <v>53</v>
      </c>
      <c r="Y98" s="18"/>
    </row>
    <row r="99" spans="1:25" ht="15" customHeight="1">
      <c r="A99" s="33" t="s">
        <v>155</v>
      </c>
      <c r="B99" s="26" t="s">
        <v>8</v>
      </c>
      <c r="C99" s="26" t="s">
        <v>46</v>
      </c>
      <c r="D99" s="26" t="s">
        <v>47</v>
      </c>
      <c r="E99" s="26" t="s">
        <v>8</v>
      </c>
      <c r="F99" s="26" t="s">
        <v>48</v>
      </c>
      <c r="G99" s="26" t="s">
        <v>49</v>
      </c>
      <c r="H99" s="26" t="s">
        <v>50</v>
      </c>
      <c r="I99" s="26" t="s">
        <v>161</v>
      </c>
      <c r="J99" s="26" t="s">
        <v>162</v>
      </c>
      <c r="K99" s="27">
        <v>0</v>
      </c>
      <c r="L99" s="27">
        <v>2.5</v>
      </c>
      <c r="M99" s="27">
        <v>2</v>
      </c>
      <c r="N99" s="27">
        <v>2.5</v>
      </c>
      <c r="O99" s="27">
        <v>2.5</v>
      </c>
      <c r="P99" s="27">
        <v>2.5</v>
      </c>
      <c r="Q99" s="27">
        <v>2.5</v>
      </c>
      <c r="R99" s="27">
        <v>2.5</v>
      </c>
      <c r="S99" s="27">
        <v>2.5</v>
      </c>
      <c r="T99" s="27">
        <v>2.5</v>
      </c>
      <c r="U99" s="27">
        <v>2.5</v>
      </c>
      <c r="V99" s="27">
        <v>2.5</v>
      </c>
      <c r="W99" s="24"/>
      <c r="X99" s="34" t="s">
        <v>53</v>
      </c>
      <c r="Y99" s="18"/>
    </row>
    <row r="100" spans="1:25" ht="15" customHeight="1" thickBot="1">
      <c r="A100" s="33" t="s">
        <v>155</v>
      </c>
      <c r="B100" s="26" t="s">
        <v>8</v>
      </c>
      <c r="C100" s="26" t="s">
        <v>46</v>
      </c>
      <c r="D100" s="26" t="s">
        <v>47</v>
      </c>
      <c r="E100" s="26" t="s">
        <v>8</v>
      </c>
      <c r="F100" s="26" t="s">
        <v>48</v>
      </c>
      <c r="G100" s="26" t="s">
        <v>49</v>
      </c>
      <c r="H100" s="26" t="s">
        <v>50</v>
      </c>
      <c r="I100" s="26" t="s">
        <v>163</v>
      </c>
      <c r="J100" s="26" t="s">
        <v>164</v>
      </c>
      <c r="K100" s="27">
        <v>0</v>
      </c>
      <c r="L100" s="27">
        <v>2</v>
      </c>
      <c r="M100" s="27">
        <v>2</v>
      </c>
      <c r="N100" s="27">
        <v>2</v>
      </c>
      <c r="O100" s="27">
        <v>2</v>
      </c>
      <c r="P100" s="27">
        <v>2</v>
      </c>
      <c r="Q100" s="27">
        <v>2</v>
      </c>
      <c r="R100" s="27">
        <v>2</v>
      </c>
      <c r="S100" s="27">
        <v>2</v>
      </c>
      <c r="T100" s="27">
        <v>0</v>
      </c>
      <c r="U100" s="27">
        <v>0</v>
      </c>
      <c r="V100" s="27">
        <v>0</v>
      </c>
      <c r="W100" s="24"/>
      <c r="X100" s="34" t="s">
        <v>53</v>
      </c>
      <c r="Y100" s="18"/>
    </row>
    <row r="101" spans="1:25" ht="15" customHeight="1" thickBot="1">
      <c r="A101" s="29"/>
      <c r="B101" s="44" t="s">
        <v>165</v>
      </c>
      <c r="C101" s="45"/>
      <c r="D101" s="45"/>
      <c r="E101" s="45"/>
      <c r="F101" s="45"/>
      <c r="G101" s="45"/>
      <c r="H101" s="45"/>
      <c r="I101" s="45"/>
      <c r="J101" s="46"/>
      <c r="K101" s="37">
        <f t="shared" ref="K101:V101" si="19">SUM(K94:K100)</f>
        <v>21.8</v>
      </c>
      <c r="L101" s="37">
        <f t="shared" si="19"/>
        <v>20.5</v>
      </c>
      <c r="M101" s="36">
        <f t="shared" si="19"/>
        <v>20</v>
      </c>
      <c r="N101" s="30">
        <f t="shared" si="19"/>
        <v>14.5</v>
      </c>
      <c r="O101" s="36">
        <f t="shared" si="19"/>
        <v>18.5</v>
      </c>
      <c r="P101" s="37">
        <f t="shared" si="19"/>
        <v>25.5</v>
      </c>
      <c r="Q101" s="30">
        <f t="shared" si="19"/>
        <v>14.5</v>
      </c>
      <c r="R101" s="30">
        <f t="shared" si="19"/>
        <v>14.5</v>
      </c>
      <c r="S101" s="37">
        <f t="shared" si="19"/>
        <v>74.5</v>
      </c>
      <c r="T101" s="30">
        <f t="shared" si="19"/>
        <v>8.5</v>
      </c>
      <c r="U101" s="30">
        <f t="shared" si="19"/>
        <v>8.5</v>
      </c>
      <c r="V101" s="30">
        <f t="shared" si="19"/>
        <v>8.5</v>
      </c>
      <c r="W101" s="24"/>
      <c r="X101" s="31"/>
    </row>
    <row r="102" spans="1:25" ht="15" customHeight="1" thickBot="1">
      <c r="A102" s="25" t="s">
        <v>166</v>
      </c>
      <c r="B102" s="26" t="s">
        <v>8</v>
      </c>
      <c r="C102" s="26" t="s">
        <v>49</v>
      </c>
      <c r="D102" s="26" t="s">
        <v>49</v>
      </c>
      <c r="E102" s="26" t="s">
        <v>49</v>
      </c>
      <c r="F102" s="26" t="s">
        <v>49</v>
      </c>
      <c r="G102" s="26" t="s">
        <v>49</v>
      </c>
      <c r="H102" s="26" t="s">
        <v>49</v>
      </c>
      <c r="I102" s="26" t="s">
        <v>49</v>
      </c>
      <c r="J102" s="32" t="s">
        <v>56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  <c r="V102" s="27">
        <v>0</v>
      </c>
      <c r="W102" s="24"/>
      <c r="X102" s="28"/>
      <c r="Y102" s="18"/>
    </row>
    <row r="103" spans="1:25" ht="15" customHeight="1" thickBot="1">
      <c r="A103" s="29"/>
      <c r="B103" s="44" t="s">
        <v>167</v>
      </c>
      <c r="C103" s="45"/>
      <c r="D103" s="45"/>
      <c r="E103" s="45"/>
      <c r="F103" s="45"/>
      <c r="G103" s="45"/>
      <c r="H103" s="45"/>
      <c r="I103" s="45"/>
      <c r="J103" s="46"/>
      <c r="K103" s="30">
        <f t="shared" ref="K103:V103" si="20">SUM(K102:K102)</f>
        <v>0</v>
      </c>
      <c r="L103" s="30">
        <f t="shared" si="20"/>
        <v>0</v>
      </c>
      <c r="M103" s="30">
        <f t="shared" si="20"/>
        <v>0</v>
      </c>
      <c r="N103" s="30">
        <f t="shared" si="20"/>
        <v>0</v>
      </c>
      <c r="O103" s="30">
        <f t="shared" si="20"/>
        <v>0</v>
      </c>
      <c r="P103" s="30">
        <f t="shared" si="20"/>
        <v>0</v>
      </c>
      <c r="Q103" s="30">
        <f t="shared" si="20"/>
        <v>0</v>
      </c>
      <c r="R103" s="30">
        <f t="shared" si="20"/>
        <v>0</v>
      </c>
      <c r="S103" s="30">
        <f t="shared" si="20"/>
        <v>0</v>
      </c>
      <c r="T103" s="30">
        <f t="shared" si="20"/>
        <v>0</v>
      </c>
      <c r="U103" s="30">
        <f t="shared" si="20"/>
        <v>0</v>
      </c>
      <c r="V103" s="30">
        <f t="shared" si="20"/>
        <v>0</v>
      </c>
      <c r="W103" s="24"/>
      <c r="X103" s="31"/>
    </row>
    <row r="104" spans="1:25" ht="15" customHeight="1" thickBot="1">
      <c r="A104" s="25" t="s">
        <v>168</v>
      </c>
      <c r="B104" s="26" t="s">
        <v>8</v>
      </c>
      <c r="C104" s="26" t="s">
        <v>49</v>
      </c>
      <c r="D104" s="26" t="s">
        <v>49</v>
      </c>
      <c r="E104" s="26" t="s">
        <v>49</v>
      </c>
      <c r="F104" s="26" t="s">
        <v>49</v>
      </c>
      <c r="G104" s="26" t="s">
        <v>49</v>
      </c>
      <c r="H104" s="26" t="s">
        <v>49</v>
      </c>
      <c r="I104" s="26" t="s">
        <v>49</v>
      </c>
      <c r="J104" s="32" t="s">
        <v>56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  <c r="V104" s="27">
        <v>0</v>
      </c>
      <c r="W104" s="24"/>
      <c r="X104" s="28"/>
      <c r="Y104" s="18"/>
    </row>
    <row r="105" spans="1:25" ht="15" customHeight="1" thickBot="1">
      <c r="A105" s="29"/>
      <c r="B105" s="44" t="s">
        <v>169</v>
      </c>
      <c r="C105" s="45"/>
      <c r="D105" s="45"/>
      <c r="E105" s="45"/>
      <c r="F105" s="45"/>
      <c r="G105" s="45"/>
      <c r="H105" s="45"/>
      <c r="I105" s="45"/>
      <c r="J105" s="46"/>
      <c r="K105" s="30">
        <f t="shared" ref="K105:V105" si="21">SUM(K104:K104)</f>
        <v>0</v>
      </c>
      <c r="L105" s="30">
        <f t="shared" si="21"/>
        <v>0</v>
      </c>
      <c r="M105" s="30">
        <f t="shared" si="21"/>
        <v>0</v>
      </c>
      <c r="N105" s="30">
        <f t="shared" si="21"/>
        <v>0</v>
      </c>
      <c r="O105" s="30">
        <f t="shared" si="21"/>
        <v>0</v>
      </c>
      <c r="P105" s="30">
        <f t="shared" si="21"/>
        <v>0</v>
      </c>
      <c r="Q105" s="30">
        <f t="shared" si="21"/>
        <v>0</v>
      </c>
      <c r="R105" s="30">
        <f t="shared" si="21"/>
        <v>0</v>
      </c>
      <c r="S105" s="30">
        <f t="shared" si="21"/>
        <v>0</v>
      </c>
      <c r="T105" s="30">
        <f t="shared" si="21"/>
        <v>0</v>
      </c>
      <c r="U105" s="30">
        <f t="shared" si="21"/>
        <v>0</v>
      </c>
      <c r="V105" s="30">
        <f t="shared" si="21"/>
        <v>0</v>
      </c>
      <c r="W105" s="24"/>
      <c r="X105" s="31"/>
    </row>
    <row r="106" spans="1:25" ht="15" customHeight="1" thickBot="1">
      <c r="A106" s="25" t="s">
        <v>170</v>
      </c>
      <c r="B106" s="26" t="s">
        <v>8</v>
      </c>
      <c r="C106" s="26" t="s">
        <v>49</v>
      </c>
      <c r="D106" s="26" t="s">
        <v>49</v>
      </c>
      <c r="E106" s="26" t="s">
        <v>49</v>
      </c>
      <c r="F106" s="26" t="s">
        <v>49</v>
      </c>
      <c r="G106" s="26" t="s">
        <v>49</v>
      </c>
      <c r="H106" s="26" t="s">
        <v>49</v>
      </c>
      <c r="I106" s="26" t="s">
        <v>49</v>
      </c>
      <c r="J106" s="32" t="s">
        <v>56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  <c r="V106" s="27">
        <v>0</v>
      </c>
      <c r="W106" s="24"/>
      <c r="X106" s="28"/>
      <c r="Y106" s="18"/>
    </row>
    <row r="107" spans="1:25" ht="15" customHeight="1" thickBot="1">
      <c r="A107" s="29"/>
      <c r="B107" s="44" t="s">
        <v>171</v>
      </c>
      <c r="C107" s="45"/>
      <c r="D107" s="45"/>
      <c r="E107" s="45"/>
      <c r="F107" s="45"/>
      <c r="G107" s="45"/>
      <c r="H107" s="45"/>
      <c r="I107" s="45"/>
      <c r="J107" s="46"/>
      <c r="K107" s="30">
        <f t="shared" ref="K107:V107" si="22">SUM(K106:K106)</f>
        <v>0</v>
      </c>
      <c r="L107" s="30">
        <f t="shared" si="22"/>
        <v>0</v>
      </c>
      <c r="M107" s="30">
        <f t="shared" si="22"/>
        <v>0</v>
      </c>
      <c r="N107" s="30">
        <f t="shared" si="22"/>
        <v>0</v>
      </c>
      <c r="O107" s="30">
        <f t="shared" si="22"/>
        <v>0</v>
      </c>
      <c r="P107" s="30">
        <f t="shared" si="22"/>
        <v>0</v>
      </c>
      <c r="Q107" s="30">
        <f t="shared" si="22"/>
        <v>0</v>
      </c>
      <c r="R107" s="30">
        <f t="shared" si="22"/>
        <v>0</v>
      </c>
      <c r="S107" s="30">
        <f t="shared" si="22"/>
        <v>0</v>
      </c>
      <c r="T107" s="30">
        <f t="shared" si="22"/>
        <v>0</v>
      </c>
      <c r="U107" s="30">
        <f t="shared" si="22"/>
        <v>0</v>
      </c>
      <c r="V107" s="30">
        <f t="shared" si="22"/>
        <v>0</v>
      </c>
      <c r="W107" s="24"/>
      <c r="X107" s="31"/>
    </row>
    <row r="108" spans="1:25" ht="15" customHeight="1" thickBot="1">
      <c r="A108" s="25" t="s">
        <v>172</v>
      </c>
      <c r="B108" s="26" t="s">
        <v>173</v>
      </c>
      <c r="C108" s="26" t="s">
        <v>49</v>
      </c>
      <c r="D108" s="26" t="s">
        <v>49</v>
      </c>
      <c r="E108" s="26" t="s">
        <v>49</v>
      </c>
      <c r="F108" s="26" t="s">
        <v>49</v>
      </c>
      <c r="G108" s="26" t="s">
        <v>49</v>
      </c>
      <c r="H108" s="26" t="s">
        <v>49</v>
      </c>
      <c r="I108" s="26" t="s">
        <v>49</v>
      </c>
      <c r="J108" s="32" t="s">
        <v>100</v>
      </c>
      <c r="K108" s="27">
        <v>5</v>
      </c>
      <c r="L108" s="27">
        <v>18</v>
      </c>
      <c r="M108" s="27">
        <v>20</v>
      </c>
      <c r="N108" s="27">
        <v>14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  <c r="V108" s="27">
        <v>0</v>
      </c>
      <c r="W108" s="24"/>
      <c r="X108" s="28"/>
      <c r="Y108" s="18"/>
    </row>
    <row r="109" spans="1:25" ht="15" customHeight="1" thickBot="1">
      <c r="A109" s="29"/>
      <c r="B109" s="44" t="s">
        <v>174</v>
      </c>
      <c r="C109" s="45"/>
      <c r="D109" s="45"/>
      <c r="E109" s="45"/>
      <c r="F109" s="45"/>
      <c r="G109" s="45"/>
      <c r="H109" s="45"/>
      <c r="I109" s="45"/>
      <c r="J109" s="46"/>
      <c r="K109" s="30">
        <f t="shared" ref="K109:V109" si="23">SUM(K108:K108)</f>
        <v>5</v>
      </c>
      <c r="L109" s="36">
        <f t="shared" si="23"/>
        <v>18</v>
      </c>
      <c r="M109" s="36">
        <f t="shared" si="23"/>
        <v>20</v>
      </c>
      <c r="N109" s="30">
        <f t="shared" si="23"/>
        <v>14</v>
      </c>
      <c r="O109" s="30">
        <f t="shared" si="23"/>
        <v>0</v>
      </c>
      <c r="P109" s="30">
        <f t="shared" si="23"/>
        <v>0</v>
      </c>
      <c r="Q109" s="30">
        <f t="shared" si="23"/>
        <v>0</v>
      </c>
      <c r="R109" s="30">
        <f t="shared" si="23"/>
        <v>0</v>
      </c>
      <c r="S109" s="30">
        <f t="shared" si="23"/>
        <v>0</v>
      </c>
      <c r="T109" s="30">
        <f t="shared" si="23"/>
        <v>0</v>
      </c>
      <c r="U109" s="30">
        <f t="shared" si="23"/>
        <v>0</v>
      </c>
      <c r="V109" s="30">
        <f t="shared" si="23"/>
        <v>0</v>
      </c>
      <c r="W109" s="24"/>
      <c r="X109" s="31"/>
    </row>
    <row r="110" spans="1:25" ht="15" customHeight="1">
      <c r="A110" s="25" t="s">
        <v>175</v>
      </c>
      <c r="B110" s="26" t="s">
        <v>8</v>
      </c>
      <c r="C110" s="26" t="s">
        <v>46</v>
      </c>
      <c r="D110" s="26" t="s">
        <v>47</v>
      </c>
      <c r="E110" s="26" t="s">
        <v>8</v>
      </c>
      <c r="F110" s="26" t="s">
        <v>59</v>
      </c>
      <c r="G110" s="26" t="s">
        <v>49</v>
      </c>
      <c r="H110" s="26" t="s">
        <v>60</v>
      </c>
      <c r="I110" s="26" t="s">
        <v>61</v>
      </c>
      <c r="J110" s="26" t="s">
        <v>62</v>
      </c>
      <c r="K110" s="27">
        <v>2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  <c r="V110" s="27">
        <v>0</v>
      </c>
      <c r="W110" s="24"/>
      <c r="X110" s="28" t="s">
        <v>53</v>
      </c>
      <c r="Y110" s="18"/>
    </row>
    <row r="111" spans="1:25" ht="15" customHeight="1">
      <c r="A111" s="33" t="s">
        <v>175</v>
      </c>
      <c r="B111" s="26" t="s">
        <v>8</v>
      </c>
      <c r="C111" s="26" t="s">
        <v>124</v>
      </c>
      <c r="D111" s="26" t="s">
        <v>47</v>
      </c>
      <c r="E111" s="26" t="s">
        <v>8</v>
      </c>
      <c r="F111" s="26" t="s">
        <v>125</v>
      </c>
      <c r="G111" s="26" t="s">
        <v>49</v>
      </c>
      <c r="H111" s="26" t="s">
        <v>67</v>
      </c>
      <c r="I111" s="26" t="s">
        <v>126</v>
      </c>
      <c r="J111" s="26" t="s">
        <v>127</v>
      </c>
      <c r="K111" s="27">
        <v>19</v>
      </c>
      <c r="L111" s="27">
        <v>4</v>
      </c>
      <c r="M111" s="27">
        <v>2</v>
      </c>
      <c r="N111" s="27">
        <v>0</v>
      </c>
      <c r="O111" s="27">
        <v>0</v>
      </c>
      <c r="P111" s="27">
        <v>0</v>
      </c>
      <c r="Q111" s="27">
        <v>0</v>
      </c>
      <c r="R111" s="27">
        <v>0</v>
      </c>
      <c r="S111" s="27">
        <v>0</v>
      </c>
      <c r="T111" s="27">
        <v>0</v>
      </c>
      <c r="U111" s="27">
        <v>0</v>
      </c>
      <c r="V111" s="27">
        <v>0</v>
      </c>
      <c r="W111" s="24"/>
      <c r="X111" s="34" t="s">
        <v>53</v>
      </c>
      <c r="Y111" s="18"/>
    </row>
    <row r="112" spans="1:25" ht="15" customHeight="1" thickBot="1">
      <c r="A112" s="33" t="s">
        <v>175</v>
      </c>
      <c r="B112" s="26" t="s">
        <v>8</v>
      </c>
      <c r="C112" s="26" t="s">
        <v>124</v>
      </c>
      <c r="D112" s="26" t="s">
        <v>47</v>
      </c>
      <c r="E112" s="26" t="s">
        <v>8</v>
      </c>
      <c r="F112" s="26" t="s">
        <v>125</v>
      </c>
      <c r="G112" s="26" t="s">
        <v>49</v>
      </c>
      <c r="H112" s="26" t="s">
        <v>67</v>
      </c>
      <c r="I112" s="26" t="s">
        <v>128</v>
      </c>
      <c r="J112" s="26" t="s">
        <v>129</v>
      </c>
      <c r="K112" s="27">
        <v>1</v>
      </c>
      <c r="L112" s="27">
        <v>0</v>
      </c>
      <c r="M112" s="27">
        <v>0</v>
      </c>
      <c r="N112" s="27">
        <v>0</v>
      </c>
      <c r="O112" s="27">
        <v>0</v>
      </c>
      <c r="P112" s="27">
        <v>0</v>
      </c>
      <c r="Q112" s="27">
        <v>0</v>
      </c>
      <c r="R112" s="27">
        <v>0</v>
      </c>
      <c r="S112" s="27">
        <v>0</v>
      </c>
      <c r="T112" s="27">
        <v>0</v>
      </c>
      <c r="U112" s="27">
        <v>0</v>
      </c>
      <c r="V112" s="27">
        <v>0</v>
      </c>
      <c r="W112" s="24"/>
      <c r="X112" s="34" t="s">
        <v>53</v>
      </c>
      <c r="Y112" s="18"/>
    </row>
    <row r="113" spans="1:25" ht="15" customHeight="1" thickBot="1">
      <c r="A113" s="29"/>
      <c r="B113" s="44" t="s">
        <v>176</v>
      </c>
      <c r="C113" s="45"/>
      <c r="D113" s="45"/>
      <c r="E113" s="45"/>
      <c r="F113" s="45"/>
      <c r="G113" s="45"/>
      <c r="H113" s="45"/>
      <c r="I113" s="45"/>
      <c r="J113" s="46"/>
      <c r="K113" s="37">
        <f t="shared" ref="K113:V113" si="24">SUM(K110:K112)</f>
        <v>22</v>
      </c>
      <c r="L113" s="30">
        <f t="shared" si="24"/>
        <v>4</v>
      </c>
      <c r="M113" s="30">
        <f t="shared" si="24"/>
        <v>2</v>
      </c>
      <c r="N113" s="30">
        <f t="shared" si="24"/>
        <v>0</v>
      </c>
      <c r="O113" s="30">
        <f t="shared" si="24"/>
        <v>0</v>
      </c>
      <c r="P113" s="30">
        <f t="shared" si="24"/>
        <v>0</v>
      </c>
      <c r="Q113" s="30">
        <f t="shared" si="24"/>
        <v>0</v>
      </c>
      <c r="R113" s="30">
        <f t="shared" si="24"/>
        <v>0</v>
      </c>
      <c r="S113" s="30">
        <f t="shared" si="24"/>
        <v>0</v>
      </c>
      <c r="T113" s="30">
        <f t="shared" si="24"/>
        <v>0</v>
      </c>
      <c r="U113" s="30">
        <f t="shared" si="24"/>
        <v>0</v>
      </c>
      <c r="V113" s="30">
        <f t="shared" si="24"/>
        <v>0</v>
      </c>
      <c r="W113" s="24"/>
      <c r="X113" s="31"/>
    </row>
    <row r="114" spans="1:25" ht="15" customHeight="1" thickBot="1">
      <c r="A114" s="25" t="s">
        <v>177</v>
      </c>
      <c r="B114" s="26" t="s">
        <v>86</v>
      </c>
      <c r="C114" s="26" t="s">
        <v>49</v>
      </c>
      <c r="D114" s="26" t="s">
        <v>49</v>
      </c>
      <c r="E114" s="26" t="s">
        <v>49</v>
      </c>
      <c r="F114" s="26" t="s">
        <v>49</v>
      </c>
      <c r="G114" s="26" t="s">
        <v>49</v>
      </c>
      <c r="H114" s="26" t="s">
        <v>49</v>
      </c>
      <c r="I114" s="26" t="s">
        <v>49</v>
      </c>
      <c r="J114" s="32" t="s">
        <v>100</v>
      </c>
      <c r="K114" s="27">
        <v>23</v>
      </c>
      <c r="L114" s="27">
        <v>17</v>
      </c>
      <c r="M114" s="27">
        <v>0</v>
      </c>
      <c r="N114" s="27">
        <v>0</v>
      </c>
      <c r="O114" s="27">
        <v>0</v>
      </c>
      <c r="P114" s="27">
        <v>0</v>
      </c>
      <c r="Q114" s="27">
        <v>0</v>
      </c>
      <c r="R114" s="27">
        <v>0</v>
      </c>
      <c r="S114" s="27">
        <v>0</v>
      </c>
      <c r="T114" s="27">
        <v>0</v>
      </c>
      <c r="U114" s="27">
        <v>0</v>
      </c>
      <c r="V114" s="27">
        <v>135</v>
      </c>
      <c r="W114" s="24"/>
      <c r="X114" s="28"/>
      <c r="Y114" s="18"/>
    </row>
    <row r="115" spans="1:25" ht="15" customHeight="1" thickBot="1">
      <c r="A115" s="29"/>
      <c r="B115" s="44" t="s">
        <v>178</v>
      </c>
      <c r="C115" s="45"/>
      <c r="D115" s="45"/>
      <c r="E115" s="45"/>
      <c r="F115" s="45"/>
      <c r="G115" s="45"/>
      <c r="H115" s="45"/>
      <c r="I115" s="45"/>
      <c r="J115" s="46"/>
      <c r="K115" s="37">
        <f t="shared" ref="K115:V115" si="25">SUM(K114:K114)</f>
        <v>23</v>
      </c>
      <c r="L115" s="37">
        <f t="shared" si="25"/>
        <v>17</v>
      </c>
      <c r="M115" s="30">
        <f t="shared" si="25"/>
        <v>0</v>
      </c>
      <c r="N115" s="30">
        <f t="shared" si="25"/>
        <v>0</v>
      </c>
      <c r="O115" s="30">
        <f t="shared" si="25"/>
        <v>0</v>
      </c>
      <c r="P115" s="30">
        <f t="shared" si="25"/>
        <v>0</v>
      </c>
      <c r="Q115" s="30">
        <f t="shared" si="25"/>
        <v>0</v>
      </c>
      <c r="R115" s="30">
        <f t="shared" si="25"/>
        <v>0</v>
      </c>
      <c r="S115" s="30">
        <f t="shared" si="25"/>
        <v>0</v>
      </c>
      <c r="T115" s="30">
        <f t="shared" si="25"/>
        <v>0</v>
      </c>
      <c r="U115" s="30">
        <f t="shared" si="25"/>
        <v>0</v>
      </c>
      <c r="V115" s="37">
        <f t="shared" si="25"/>
        <v>135</v>
      </c>
      <c r="W115" s="24"/>
      <c r="X115" s="31"/>
    </row>
    <row r="116" spans="1:25" ht="15" customHeight="1" thickBot="1">
      <c r="A116" s="25" t="s">
        <v>179</v>
      </c>
      <c r="B116" s="26" t="s">
        <v>86</v>
      </c>
      <c r="C116" s="26" t="s">
        <v>49</v>
      </c>
      <c r="D116" s="26" t="s">
        <v>49</v>
      </c>
      <c r="E116" s="26" t="s">
        <v>49</v>
      </c>
      <c r="F116" s="26" t="s">
        <v>49</v>
      </c>
      <c r="G116" s="26" t="s">
        <v>49</v>
      </c>
      <c r="H116" s="26" t="s">
        <v>49</v>
      </c>
      <c r="I116" s="26" t="s">
        <v>49</v>
      </c>
      <c r="J116" s="32" t="s">
        <v>100</v>
      </c>
      <c r="K116" s="27">
        <v>28</v>
      </c>
      <c r="L116" s="27">
        <v>14</v>
      </c>
      <c r="M116" s="27">
        <v>10</v>
      </c>
      <c r="N116" s="27">
        <v>0</v>
      </c>
      <c r="O116" s="27">
        <v>0</v>
      </c>
      <c r="P116" s="27">
        <v>0</v>
      </c>
      <c r="Q116" s="27">
        <v>0</v>
      </c>
      <c r="R116" s="27">
        <v>0</v>
      </c>
      <c r="S116" s="27">
        <v>0</v>
      </c>
      <c r="T116" s="27">
        <v>0</v>
      </c>
      <c r="U116" s="27">
        <v>0</v>
      </c>
      <c r="V116" s="27">
        <v>0</v>
      </c>
      <c r="W116" s="24"/>
      <c r="X116" s="28"/>
      <c r="Y116" s="18"/>
    </row>
    <row r="117" spans="1:25" ht="15" customHeight="1" thickBot="1">
      <c r="A117" s="29"/>
      <c r="B117" s="44" t="s">
        <v>180</v>
      </c>
      <c r="C117" s="45"/>
      <c r="D117" s="45"/>
      <c r="E117" s="45"/>
      <c r="F117" s="45"/>
      <c r="G117" s="45"/>
      <c r="H117" s="45"/>
      <c r="I117" s="45"/>
      <c r="J117" s="46"/>
      <c r="K117" s="37">
        <f t="shared" ref="K117:V117" si="26">SUM(K116:K116)</f>
        <v>28</v>
      </c>
      <c r="L117" s="30">
        <f t="shared" si="26"/>
        <v>14</v>
      </c>
      <c r="M117" s="30">
        <f t="shared" si="26"/>
        <v>10</v>
      </c>
      <c r="N117" s="30">
        <f t="shared" si="26"/>
        <v>0</v>
      </c>
      <c r="O117" s="30">
        <f t="shared" si="26"/>
        <v>0</v>
      </c>
      <c r="P117" s="30">
        <f t="shared" si="26"/>
        <v>0</v>
      </c>
      <c r="Q117" s="30">
        <f t="shared" si="26"/>
        <v>0</v>
      </c>
      <c r="R117" s="30">
        <f t="shared" si="26"/>
        <v>0</v>
      </c>
      <c r="S117" s="30">
        <f t="shared" si="26"/>
        <v>0</v>
      </c>
      <c r="T117" s="30">
        <f t="shared" si="26"/>
        <v>0</v>
      </c>
      <c r="U117" s="30">
        <f t="shared" si="26"/>
        <v>0</v>
      </c>
      <c r="V117" s="30">
        <f t="shared" si="26"/>
        <v>0</v>
      </c>
      <c r="W117" s="24"/>
      <c r="X117" s="31"/>
    </row>
    <row r="118" spans="1:25" ht="15" customHeight="1">
      <c r="A118" s="25" t="s">
        <v>181</v>
      </c>
      <c r="B118" s="26" t="s">
        <v>8</v>
      </c>
      <c r="C118" s="26" t="s">
        <v>81</v>
      </c>
      <c r="D118" s="26" t="s">
        <v>47</v>
      </c>
      <c r="E118" s="26" t="s">
        <v>8</v>
      </c>
      <c r="F118" s="26" t="s">
        <v>66</v>
      </c>
      <c r="G118" s="26" t="s">
        <v>49</v>
      </c>
      <c r="H118" s="26" t="s">
        <v>67</v>
      </c>
      <c r="I118" s="26" t="s">
        <v>91</v>
      </c>
      <c r="J118" s="26" t="s">
        <v>92</v>
      </c>
      <c r="K118" s="27">
        <v>8</v>
      </c>
      <c r="L118" s="27">
        <v>12</v>
      </c>
      <c r="M118" s="27">
        <v>2</v>
      </c>
      <c r="N118" s="27">
        <v>2</v>
      </c>
      <c r="O118" s="27">
        <v>0</v>
      </c>
      <c r="P118" s="27">
        <v>0</v>
      </c>
      <c r="Q118" s="27">
        <v>0</v>
      </c>
      <c r="R118" s="27">
        <v>0</v>
      </c>
      <c r="S118" s="27">
        <v>0</v>
      </c>
      <c r="T118" s="27">
        <v>0</v>
      </c>
      <c r="U118" s="27">
        <v>0</v>
      </c>
      <c r="V118" s="27">
        <v>0</v>
      </c>
      <c r="W118" s="24"/>
      <c r="X118" s="28" t="s">
        <v>53</v>
      </c>
      <c r="Y118" s="18"/>
    </row>
    <row r="119" spans="1:25" ht="15" customHeight="1" thickBot="1">
      <c r="A119" s="33" t="s">
        <v>181</v>
      </c>
      <c r="B119" s="26" t="s">
        <v>8</v>
      </c>
      <c r="C119" s="26" t="s">
        <v>46</v>
      </c>
      <c r="D119" s="26" t="s">
        <v>47</v>
      </c>
      <c r="E119" s="26" t="s">
        <v>8</v>
      </c>
      <c r="F119" s="26" t="s">
        <v>59</v>
      </c>
      <c r="G119" s="26" t="s">
        <v>49</v>
      </c>
      <c r="H119" s="26" t="s">
        <v>60</v>
      </c>
      <c r="I119" s="26" t="s">
        <v>61</v>
      </c>
      <c r="J119" s="26" t="s">
        <v>62</v>
      </c>
      <c r="K119" s="27">
        <v>0</v>
      </c>
      <c r="L119" s="27">
        <v>0</v>
      </c>
      <c r="M119" s="27">
        <v>2</v>
      </c>
      <c r="N119" s="27">
        <v>1</v>
      </c>
      <c r="O119" s="27">
        <v>2</v>
      </c>
      <c r="P119" s="27">
        <v>11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  <c r="V119" s="27">
        <v>0</v>
      </c>
      <c r="W119" s="24"/>
      <c r="X119" s="34" t="s">
        <v>53</v>
      </c>
      <c r="Y119" s="18"/>
    </row>
    <row r="120" spans="1:25" ht="15" customHeight="1" thickBot="1">
      <c r="A120" s="29"/>
      <c r="B120" s="44" t="s">
        <v>182</v>
      </c>
      <c r="C120" s="45"/>
      <c r="D120" s="45"/>
      <c r="E120" s="45"/>
      <c r="F120" s="45"/>
      <c r="G120" s="45"/>
      <c r="H120" s="45"/>
      <c r="I120" s="45"/>
      <c r="J120" s="46"/>
      <c r="K120" s="30">
        <f t="shared" ref="K120:V120" si="27">SUM(K118:K119)</f>
        <v>8</v>
      </c>
      <c r="L120" s="30">
        <f t="shared" si="27"/>
        <v>12</v>
      </c>
      <c r="M120" s="30">
        <f t="shared" si="27"/>
        <v>4</v>
      </c>
      <c r="N120" s="30">
        <f t="shared" si="27"/>
        <v>3</v>
      </c>
      <c r="O120" s="30">
        <f t="shared" si="27"/>
        <v>2</v>
      </c>
      <c r="P120" s="30">
        <f t="shared" si="27"/>
        <v>11</v>
      </c>
      <c r="Q120" s="30">
        <f t="shared" si="27"/>
        <v>0</v>
      </c>
      <c r="R120" s="30">
        <f t="shared" si="27"/>
        <v>0</v>
      </c>
      <c r="S120" s="30">
        <f t="shared" si="27"/>
        <v>0</v>
      </c>
      <c r="T120" s="30">
        <f t="shared" si="27"/>
        <v>0</v>
      </c>
      <c r="U120" s="30">
        <f t="shared" si="27"/>
        <v>0</v>
      </c>
      <c r="V120" s="30">
        <f t="shared" si="27"/>
        <v>0</v>
      </c>
      <c r="W120" s="24"/>
      <c r="X120" s="31"/>
    </row>
    <row r="121" spans="1:25" ht="15" customHeight="1" thickBot="1">
      <c r="A121" s="25" t="s">
        <v>183</v>
      </c>
      <c r="B121" s="26" t="s">
        <v>8</v>
      </c>
      <c r="C121" s="26" t="s">
        <v>46</v>
      </c>
      <c r="D121" s="26" t="s">
        <v>47</v>
      </c>
      <c r="E121" s="26" t="s">
        <v>8</v>
      </c>
      <c r="F121" s="26" t="s">
        <v>59</v>
      </c>
      <c r="G121" s="26" t="s">
        <v>49</v>
      </c>
      <c r="H121" s="26" t="s">
        <v>60</v>
      </c>
      <c r="I121" s="26" t="s">
        <v>61</v>
      </c>
      <c r="J121" s="26" t="s">
        <v>62</v>
      </c>
      <c r="K121" s="27">
        <v>1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7">
        <v>0</v>
      </c>
      <c r="R121" s="27">
        <v>0</v>
      </c>
      <c r="S121" s="27">
        <v>0</v>
      </c>
      <c r="T121" s="27">
        <v>0</v>
      </c>
      <c r="U121" s="27">
        <v>0</v>
      </c>
      <c r="V121" s="27">
        <v>0</v>
      </c>
      <c r="W121" s="24"/>
      <c r="X121" s="28" t="s">
        <v>53</v>
      </c>
      <c r="Y121" s="18"/>
    </row>
    <row r="122" spans="1:25" ht="15" customHeight="1" thickBot="1">
      <c r="A122" s="29"/>
      <c r="B122" s="44" t="s">
        <v>184</v>
      </c>
      <c r="C122" s="45"/>
      <c r="D122" s="45"/>
      <c r="E122" s="45"/>
      <c r="F122" s="45"/>
      <c r="G122" s="45"/>
      <c r="H122" s="45"/>
      <c r="I122" s="45"/>
      <c r="J122" s="46"/>
      <c r="K122" s="30">
        <f t="shared" ref="K122:V122" si="28">SUM(K121:K121)</f>
        <v>1</v>
      </c>
      <c r="L122" s="30">
        <f t="shared" si="28"/>
        <v>0</v>
      </c>
      <c r="M122" s="30">
        <f t="shared" si="28"/>
        <v>0</v>
      </c>
      <c r="N122" s="30">
        <f t="shared" si="28"/>
        <v>0</v>
      </c>
      <c r="O122" s="30">
        <f t="shared" si="28"/>
        <v>0</v>
      </c>
      <c r="P122" s="30">
        <f t="shared" si="28"/>
        <v>0</v>
      </c>
      <c r="Q122" s="30">
        <f t="shared" si="28"/>
        <v>0</v>
      </c>
      <c r="R122" s="30">
        <f t="shared" si="28"/>
        <v>0</v>
      </c>
      <c r="S122" s="30">
        <f t="shared" si="28"/>
        <v>0</v>
      </c>
      <c r="T122" s="30">
        <f t="shared" si="28"/>
        <v>0</v>
      </c>
      <c r="U122" s="30">
        <f t="shared" si="28"/>
        <v>0</v>
      </c>
      <c r="V122" s="30">
        <f t="shared" si="28"/>
        <v>0</v>
      </c>
      <c r="W122" s="24"/>
      <c r="X122" s="31"/>
    </row>
    <row r="123" spans="1:25" ht="15" customHeight="1">
      <c r="A123" s="25" t="s">
        <v>185</v>
      </c>
      <c r="B123" s="26" t="s">
        <v>8</v>
      </c>
      <c r="C123" s="26" t="s">
        <v>46</v>
      </c>
      <c r="D123" s="26" t="s">
        <v>47</v>
      </c>
      <c r="E123" s="26" t="s">
        <v>8</v>
      </c>
      <c r="F123" s="26" t="s">
        <v>48</v>
      </c>
      <c r="G123" s="26" t="s">
        <v>49</v>
      </c>
      <c r="H123" s="26" t="s">
        <v>50</v>
      </c>
      <c r="I123" s="26" t="s">
        <v>63</v>
      </c>
      <c r="J123" s="26" t="s">
        <v>64</v>
      </c>
      <c r="K123" s="27">
        <v>10</v>
      </c>
      <c r="L123" s="27">
        <v>10</v>
      </c>
      <c r="M123" s="27">
        <v>10</v>
      </c>
      <c r="N123" s="27">
        <v>10</v>
      </c>
      <c r="O123" s="27">
        <v>10</v>
      </c>
      <c r="P123" s="27">
        <v>10</v>
      </c>
      <c r="Q123" s="27">
        <v>10</v>
      </c>
      <c r="R123" s="27">
        <v>10</v>
      </c>
      <c r="S123" s="27">
        <v>10</v>
      </c>
      <c r="T123" s="27">
        <v>10</v>
      </c>
      <c r="U123" s="27">
        <v>10</v>
      </c>
      <c r="V123" s="27">
        <v>10</v>
      </c>
      <c r="W123" s="24"/>
      <c r="X123" s="28" t="s">
        <v>53</v>
      </c>
      <c r="Y123" s="18"/>
    </row>
    <row r="124" spans="1:25" ht="15" customHeight="1">
      <c r="A124" s="33" t="s">
        <v>185</v>
      </c>
      <c r="B124" s="26" t="s">
        <v>8</v>
      </c>
      <c r="C124" s="26" t="s">
        <v>46</v>
      </c>
      <c r="D124" s="26" t="s">
        <v>47</v>
      </c>
      <c r="E124" s="26" t="s">
        <v>8</v>
      </c>
      <c r="F124" s="26" t="s">
        <v>48</v>
      </c>
      <c r="G124" s="26" t="s">
        <v>49</v>
      </c>
      <c r="H124" s="26" t="s">
        <v>50</v>
      </c>
      <c r="I124" s="26" t="s">
        <v>70</v>
      </c>
      <c r="J124" s="26" t="s">
        <v>71</v>
      </c>
      <c r="K124" s="27">
        <v>0</v>
      </c>
      <c r="L124" s="27">
        <v>4</v>
      </c>
      <c r="M124" s="27">
        <v>4</v>
      </c>
      <c r="N124" s="27">
        <v>4</v>
      </c>
      <c r="O124" s="27">
        <v>4</v>
      </c>
      <c r="P124" s="27">
        <v>4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  <c r="V124" s="27">
        <v>0</v>
      </c>
      <c r="W124" s="24"/>
      <c r="X124" s="34" t="s">
        <v>53</v>
      </c>
      <c r="Y124" s="18"/>
    </row>
    <row r="125" spans="1:25" ht="15" customHeight="1" thickBot="1">
      <c r="A125" s="33" t="s">
        <v>185</v>
      </c>
      <c r="B125" s="26" t="s">
        <v>8</v>
      </c>
      <c r="C125" s="26" t="s">
        <v>46</v>
      </c>
      <c r="D125" s="26" t="s">
        <v>47</v>
      </c>
      <c r="E125" s="26" t="s">
        <v>8</v>
      </c>
      <c r="F125" s="26" t="s">
        <v>48</v>
      </c>
      <c r="G125" s="26" t="s">
        <v>49</v>
      </c>
      <c r="H125" s="26" t="s">
        <v>50</v>
      </c>
      <c r="I125" s="26" t="s">
        <v>72</v>
      </c>
      <c r="J125" s="26" t="s">
        <v>73</v>
      </c>
      <c r="K125" s="27">
        <v>0</v>
      </c>
      <c r="L125" s="27">
        <v>2</v>
      </c>
      <c r="M125" s="27">
        <v>2</v>
      </c>
      <c r="N125" s="27">
        <v>2</v>
      </c>
      <c r="O125" s="27">
        <v>2</v>
      </c>
      <c r="P125" s="27">
        <v>2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  <c r="V125" s="27">
        <v>0</v>
      </c>
      <c r="W125" s="24"/>
      <c r="X125" s="34" t="s">
        <v>53</v>
      </c>
      <c r="Y125" s="18"/>
    </row>
    <row r="126" spans="1:25" ht="15" customHeight="1" thickBot="1">
      <c r="A126" s="29"/>
      <c r="B126" s="44" t="s">
        <v>186</v>
      </c>
      <c r="C126" s="45"/>
      <c r="D126" s="45"/>
      <c r="E126" s="45"/>
      <c r="F126" s="45"/>
      <c r="G126" s="45"/>
      <c r="H126" s="45"/>
      <c r="I126" s="45"/>
      <c r="J126" s="46"/>
      <c r="K126" s="30">
        <f t="shared" ref="K126:V126" si="29">SUM(K123:K125)</f>
        <v>10</v>
      </c>
      <c r="L126" s="30">
        <f t="shared" si="29"/>
        <v>16</v>
      </c>
      <c r="M126" s="30">
        <f t="shared" si="29"/>
        <v>16</v>
      </c>
      <c r="N126" s="30">
        <f t="shared" si="29"/>
        <v>16</v>
      </c>
      <c r="O126" s="30">
        <f t="shared" si="29"/>
        <v>16</v>
      </c>
      <c r="P126" s="30">
        <f t="shared" si="29"/>
        <v>16</v>
      </c>
      <c r="Q126" s="30">
        <f t="shared" si="29"/>
        <v>10</v>
      </c>
      <c r="R126" s="30">
        <f t="shared" si="29"/>
        <v>10</v>
      </c>
      <c r="S126" s="30">
        <f t="shared" si="29"/>
        <v>10</v>
      </c>
      <c r="T126" s="30">
        <f t="shared" si="29"/>
        <v>10</v>
      </c>
      <c r="U126" s="30">
        <f t="shared" si="29"/>
        <v>10</v>
      </c>
      <c r="V126" s="30">
        <f t="shared" si="29"/>
        <v>10</v>
      </c>
      <c r="W126" s="24"/>
      <c r="X126" s="31"/>
    </row>
    <row r="127" spans="1:25" ht="15" customHeight="1" thickBot="1">
      <c r="A127" s="25" t="s">
        <v>187</v>
      </c>
      <c r="B127" s="26" t="s">
        <v>188</v>
      </c>
      <c r="C127" s="26" t="s">
        <v>49</v>
      </c>
      <c r="D127" s="26" t="s">
        <v>49</v>
      </c>
      <c r="E127" s="26" t="s">
        <v>49</v>
      </c>
      <c r="F127" s="26" t="s">
        <v>49</v>
      </c>
      <c r="G127" s="26" t="s">
        <v>49</v>
      </c>
      <c r="H127" s="26" t="s">
        <v>49</v>
      </c>
      <c r="I127" s="26" t="s">
        <v>49</v>
      </c>
      <c r="J127" s="32" t="s">
        <v>100</v>
      </c>
      <c r="K127" s="27">
        <v>18</v>
      </c>
      <c r="L127" s="27">
        <v>18</v>
      </c>
      <c r="M127" s="27">
        <v>18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  <c r="V127" s="27">
        <v>0</v>
      </c>
      <c r="W127" s="24"/>
      <c r="X127" s="28"/>
      <c r="Y127" s="18"/>
    </row>
    <row r="128" spans="1:25" ht="15" customHeight="1" thickBot="1">
      <c r="A128" s="29"/>
      <c r="B128" s="44" t="s">
        <v>189</v>
      </c>
      <c r="C128" s="45"/>
      <c r="D128" s="45"/>
      <c r="E128" s="45"/>
      <c r="F128" s="45"/>
      <c r="G128" s="45"/>
      <c r="H128" s="45"/>
      <c r="I128" s="45"/>
      <c r="J128" s="46"/>
      <c r="K128" s="36">
        <f t="shared" ref="K128:V128" si="30">SUM(K127:K127)</f>
        <v>18</v>
      </c>
      <c r="L128" s="36">
        <f t="shared" si="30"/>
        <v>18</v>
      </c>
      <c r="M128" s="30">
        <f t="shared" si="30"/>
        <v>18</v>
      </c>
      <c r="N128" s="30">
        <f t="shared" si="30"/>
        <v>0</v>
      </c>
      <c r="O128" s="30">
        <f t="shared" si="30"/>
        <v>0</v>
      </c>
      <c r="P128" s="30">
        <f t="shared" si="30"/>
        <v>0</v>
      </c>
      <c r="Q128" s="30">
        <f t="shared" si="30"/>
        <v>0</v>
      </c>
      <c r="R128" s="30">
        <f t="shared" si="30"/>
        <v>0</v>
      </c>
      <c r="S128" s="30">
        <f t="shared" si="30"/>
        <v>0</v>
      </c>
      <c r="T128" s="30">
        <f t="shared" si="30"/>
        <v>0</v>
      </c>
      <c r="U128" s="30">
        <f t="shared" si="30"/>
        <v>0</v>
      </c>
      <c r="V128" s="30">
        <f t="shared" si="30"/>
        <v>0</v>
      </c>
      <c r="W128" s="24"/>
      <c r="X128" s="31"/>
    </row>
    <row r="129" spans="1:25" ht="15" customHeight="1">
      <c r="A129" s="25" t="s">
        <v>190</v>
      </c>
      <c r="B129" s="26" t="s">
        <v>8</v>
      </c>
      <c r="C129" s="26" t="s">
        <v>46</v>
      </c>
      <c r="D129" s="26" t="s">
        <v>47</v>
      </c>
      <c r="E129" s="26" t="s">
        <v>8</v>
      </c>
      <c r="F129" s="26" t="s">
        <v>59</v>
      </c>
      <c r="G129" s="26" t="s">
        <v>49</v>
      </c>
      <c r="H129" s="26" t="s">
        <v>60</v>
      </c>
      <c r="I129" s="26" t="s">
        <v>61</v>
      </c>
      <c r="J129" s="26" t="s">
        <v>62</v>
      </c>
      <c r="K129" s="27">
        <v>1</v>
      </c>
      <c r="L129" s="27">
        <v>1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  <c r="V129" s="27">
        <v>0</v>
      </c>
      <c r="W129" s="24"/>
      <c r="X129" s="28" t="s">
        <v>53</v>
      </c>
      <c r="Y129" s="18"/>
    </row>
    <row r="130" spans="1:25" ht="15" customHeight="1">
      <c r="A130" s="33" t="s">
        <v>190</v>
      </c>
      <c r="B130" s="26" t="s">
        <v>8</v>
      </c>
      <c r="C130" s="26" t="s">
        <v>46</v>
      </c>
      <c r="D130" s="26" t="s">
        <v>47</v>
      </c>
      <c r="E130" s="26" t="s">
        <v>8</v>
      </c>
      <c r="F130" s="26" t="s">
        <v>48</v>
      </c>
      <c r="G130" s="26" t="s">
        <v>49</v>
      </c>
      <c r="H130" s="26" t="s">
        <v>50</v>
      </c>
      <c r="I130" s="26" t="s">
        <v>63</v>
      </c>
      <c r="J130" s="26" t="s">
        <v>64</v>
      </c>
      <c r="K130" s="27">
        <v>19</v>
      </c>
      <c r="L130" s="27">
        <v>18</v>
      </c>
      <c r="M130" s="27">
        <v>19</v>
      </c>
      <c r="N130" s="27">
        <v>18</v>
      </c>
      <c r="O130" s="27">
        <v>19</v>
      </c>
      <c r="P130" s="27">
        <v>18</v>
      </c>
      <c r="Q130" s="27">
        <v>19</v>
      </c>
      <c r="R130" s="27">
        <v>18</v>
      </c>
      <c r="S130" s="27">
        <v>18</v>
      </c>
      <c r="T130" s="27">
        <v>18</v>
      </c>
      <c r="U130" s="27">
        <v>18</v>
      </c>
      <c r="V130" s="27">
        <v>18</v>
      </c>
      <c r="W130" s="24"/>
      <c r="X130" s="34" t="s">
        <v>53</v>
      </c>
      <c r="Y130" s="18"/>
    </row>
    <row r="131" spans="1:25" ht="15" customHeight="1">
      <c r="A131" s="33" t="s">
        <v>190</v>
      </c>
      <c r="B131" s="26" t="s">
        <v>8</v>
      </c>
      <c r="C131" s="26" t="s">
        <v>81</v>
      </c>
      <c r="D131" s="26" t="s">
        <v>47</v>
      </c>
      <c r="E131" s="26" t="s">
        <v>8</v>
      </c>
      <c r="F131" s="26" t="s">
        <v>66</v>
      </c>
      <c r="G131" s="26" t="s">
        <v>49</v>
      </c>
      <c r="H131" s="26" t="s">
        <v>67</v>
      </c>
      <c r="I131" s="26" t="s">
        <v>82</v>
      </c>
      <c r="J131" s="26" t="s">
        <v>83</v>
      </c>
      <c r="K131" s="27">
        <v>1</v>
      </c>
      <c r="L131" s="27">
        <v>1</v>
      </c>
      <c r="M131" s="27">
        <v>1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  <c r="V131" s="27">
        <v>0</v>
      </c>
      <c r="W131" s="24"/>
      <c r="X131" s="34" t="s">
        <v>53</v>
      </c>
      <c r="Y131" s="18"/>
    </row>
    <row r="132" spans="1:25" ht="15" customHeight="1" thickBot="1">
      <c r="A132" s="33" t="s">
        <v>190</v>
      </c>
      <c r="B132" s="26" t="s">
        <v>8</v>
      </c>
      <c r="C132" s="26" t="s">
        <v>46</v>
      </c>
      <c r="D132" s="26" t="s">
        <v>47</v>
      </c>
      <c r="E132" s="26" t="s">
        <v>8</v>
      </c>
      <c r="F132" s="26" t="s">
        <v>48</v>
      </c>
      <c r="G132" s="26" t="s">
        <v>49</v>
      </c>
      <c r="H132" s="26" t="s">
        <v>60</v>
      </c>
      <c r="I132" s="26" t="s">
        <v>191</v>
      </c>
      <c r="J132" s="26" t="s">
        <v>192</v>
      </c>
      <c r="K132" s="27">
        <v>0</v>
      </c>
      <c r="L132" s="27">
        <v>0</v>
      </c>
      <c r="M132" s="27">
        <v>0</v>
      </c>
      <c r="N132" s="27">
        <v>2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  <c r="V132" s="27">
        <v>0</v>
      </c>
      <c r="W132" s="24"/>
      <c r="X132" s="38" t="s">
        <v>193</v>
      </c>
      <c r="Y132" s="18"/>
    </row>
    <row r="133" spans="1:25" ht="15" customHeight="1" thickBot="1">
      <c r="A133" s="29"/>
      <c r="B133" s="44" t="s">
        <v>194</v>
      </c>
      <c r="C133" s="45"/>
      <c r="D133" s="45"/>
      <c r="E133" s="45"/>
      <c r="F133" s="45"/>
      <c r="G133" s="45"/>
      <c r="H133" s="45"/>
      <c r="I133" s="45"/>
      <c r="J133" s="46"/>
      <c r="K133" s="35">
        <f t="shared" ref="K133:V133" si="31">SUM(K129:K132)</f>
        <v>21</v>
      </c>
      <c r="L133" s="35">
        <f t="shared" si="31"/>
        <v>20</v>
      </c>
      <c r="M133" s="36">
        <f t="shared" si="31"/>
        <v>20</v>
      </c>
      <c r="N133" s="35">
        <f t="shared" si="31"/>
        <v>20</v>
      </c>
      <c r="O133" s="35">
        <f t="shared" si="31"/>
        <v>19</v>
      </c>
      <c r="P133" s="30">
        <f t="shared" si="31"/>
        <v>18</v>
      </c>
      <c r="Q133" s="36">
        <f t="shared" si="31"/>
        <v>19</v>
      </c>
      <c r="R133" s="36">
        <f t="shared" si="31"/>
        <v>18</v>
      </c>
      <c r="S133" s="30">
        <f t="shared" si="31"/>
        <v>18</v>
      </c>
      <c r="T133" s="30">
        <f t="shared" si="31"/>
        <v>18</v>
      </c>
      <c r="U133" s="30">
        <f t="shared" si="31"/>
        <v>18</v>
      </c>
      <c r="V133" s="36">
        <f t="shared" si="31"/>
        <v>18</v>
      </c>
      <c r="W133" s="24"/>
      <c r="X133" s="31"/>
    </row>
    <row r="134" spans="1:25" ht="15" customHeight="1">
      <c r="A134" s="25" t="s">
        <v>195</v>
      </c>
      <c r="B134" s="26" t="s">
        <v>8</v>
      </c>
      <c r="C134" s="26" t="s">
        <v>46</v>
      </c>
      <c r="D134" s="26" t="s">
        <v>47</v>
      </c>
      <c r="E134" s="26" t="s">
        <v>8</v>
      </c>
      <c r="F134" s="26" t="s">
        <v>48</v>
      </c>
      <c r="G134" s="26" t="s">
        <v>49</v>
      </c>
      <c r="H134" s="26" t="s">
        <v>60</v>
      </c>
      <c r="I134" s="26" t="s">
        <v>108</v>
      </c>
      <c r="J134" s="26" t="s">
        <v>109</v>
      </c>
      <c r="K134" s="27">
        <v>2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  <c r="V134" s="27">
        <v>0</v>
      </c>
      <c r="W134" s="24"/>
      <c r="X134" s="28" t="s">
        <v>53</v>
      </c>
      <c r="Y134" s="18"/>
    </row>
    <row r="135" spans="1:25" ht="15" customHeight="1">
      <c r="A135" s="33" t="s">
        <v>195</v>
      </c>
      <c r="B135" s="26" t="s">
        <v>8</v>
      </c>
      <c r="C135" s="26" t="s">
        <v>46</v>
      </c>
      <c r="D135" s="26" t="s">
        <v>47</v>
      </c>
      <c r="E135" s="26" t="s">
        <v>8</v>
      </c>
      <c r="F135" s="26" t="s">
        <v>59</v>
      </c>
      <c r="G135" s="26" t="s">
        <v>49</v>
      </c>
      <c r="H135" s="26" t="s">
        <v>60</v>
      </c>
      <c r="I135" s="26" t="s">
        <v>61</v>
      </c>
      <c r="J135" s="26" t="s">
        <v>62</v>
      </c>
      <c r="K135" s="27">
        <v>1</v>
      </c>
      <c r="L135" s="27">
        <v>10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  <c r="V135" s="27">
        <v>0</v>
      </c>
      <c r="W135" s="24"/>
      <c r="X135" s="34" t="s">
        <v>53</v>
      </c>
      <c r="Y135" s="18"/>
    </row>
    <row r="136" spans="1:25" ht="15" customHeight="1">
      <c r="A136" s="33" t="s">
        <v>195</v>
      </c>
      <c r="B136" s="26" t="s">
        <v>8</v>
      </c>
      <c r="C136" s="26" t="s">
        <v>46</v>
      </c>
      <c r="D136" s="26" t="s">
        <v>47</v>
      </c>
      <c r="E136" s="26" t="s">
        <v>8</v>
      </c>
      <c r="F136" s="26" t="s">
        <v>48</v>
      </c>
      <c r="G136" s="26" t="s">
        <v>49</v>
      </c>
      <c r="H136" s="26" t="s">
        <v>60</v>
      </c>
      <c r="I136" s="26" t="s">
        <v>79</v>
      </c>
      <c r="J136" s="26" t="s">
        <v>80</v>
      </c>
      <c r="K136" s="27">
        <v>0.5</v>
      </c>
      <c r="L136" s="27">
        <v>0.5</v>
      </c>
      <c r="M136" s="27">
        <v>0.5</v>
      </c>
      <c r="N136" s="27">
        <v>0.5</v>
      </c>
      <c r="O136" s="27">
        <v>0.5</v>
      </c>
      <c r="P136" s="27">
        <v>0.5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  <c r="V136" s="27">
        <v>1</v>
      </c>
      <c r="W136" s="24"/>
      <c r="X136" s="34" t="s">
        <v>53</v>
      </c>
      <c r="Y136" s="18"/>
    </row>
    <row r="137" spans="1:25" ht="15" customHeight="1">
      <c r="A137" s="33" t="s">
        <v>195</v>
      </c>
      <c r="B137" s="26" t="s">
        <v>8</v>
      </c>
      <c r="C137" s="26" t="s">
        <v>65</v>
      </c>
      <c r="D137" s="26" t="s">
        <v>47</v>
      </c>
      <c r="E137" s="26" t="s">
        <v>8</v>
      </c>
      <c r="F137" s="26" t="s">
        <v>66</v>
      </c>
      <c r="G137" s="26" t="s">
        <v>49</v>
      </c>
      <c r="H137" s="26" t="s">
        <v>67</v>
      </c>
      <c r="I137" s="26" t="s">
        <v>110</v>
      </c>
      <c r="J137" s="26" t="s">
        <v>111</v>
      </c>
      <c r="K137" s="27">
        <v>5</v>
      </c>
      <c r="L137" s="27">
        <v>2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  <c r="V137" s="27">
        <v>0</v>
      </c>
      <c r="W137" s="24"/>
      <c r="X137" s="34" t="s">
        <v>53</v>
      </c>
      <c r="Y137" s="18"/>
    </row>
    <row r="138" spans="1:25" ht="15" customHeight="1">
      <c r="A138" s="33" t="s">
        <v>195</v>
      </c>
      <c r="B138" s="26" t="s">
        <v>8</v>
      </c>
      <c r="C138" s="26" t="s">
        <v>65</v>
      </c>
      <c r="D138" s="26" t="s">
        <v>47</v>
      </c>
      <c r="E138" s="26" t="s">
        <v>8</v>
      </c>
      <c r="F138" s="26" t="s">
        <v>66</v>
      </c>
      <c r="G138" s="26" t="s">
        <v>49</v>
      </c>
      <c r="H138" s="26" t="s">
        <v>67</v>
      </c>
      <c r="I138" s="26" t="s">
        <v>68</v>
      </c>
      <c r="J138" s="26" t="s">
        <v>69</v>
      </c>
      <c r="K138" s="27">
        <v>1</v>
      </c>
      <c r="L138" s="27">
        <v>1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  <c r="V138" s="27">
        <v>0</v>
      </c>
      <c r="W138" s="24"/>
      <c r="X138" s="34" t="s">
        <v>53</v>
      </c>
      <c r="Y138" s="18"/>
    </row>
    <row r="139" spans="1:25" ht="15" customHeight="1">
      <c r="A139" s="33" t="s">
        <v>195</v>
      </c>
      <c r="B139" s="26" t="s">
        <v>8</v>
      </c>
      <c r="C139" s="26" t="s">
        <v>124</v>
      </c>
      <c r="D139" s="26" t="s">
        <v>47</v>
      </c>
      <c r="E139" s="26" t="s">
        <v>8</v>
      </c>
      <c r="F139" s="26" t="s">
        <v>125</v>
      </c>
      <c r="G139" s="26" t="s">
        <v>49</v>
      </c>
      <c r="H139" s="26" t="s">
        <v>67</v>
      </c>
      <c r="I139" s="26" t="s">
        <v>126</v>
      </c>
      <c r="J139" s="26" t="s">
        <v>127</v>
      </c>
      <c r="K139" s="27">
        <v>6</v>
      </c>
      <c r="L139" s="27">
        <v>4</v>
      </c>
      <c r="M139" s="27">
        <v>2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  <c r="V139" s="27">
        <v>0</v>
      </c>
      <c r="W139" s="24"/>
      <c r="X139" s="34" t="s">
        <v>53</v>
      </c>
      <c r="Y139" s="18"/>
    </row>
    <row r="140" spans="1:25" ht="15" customHeight="1">
      <c r="A140" s="33" t="s">
        <v>195</v>
      </c>
      <c r="B140" s="26" t="s">
        <v>8</v>
      </c>
      <c r="C140" s="26" t="s">
        <v>124</v>
      </c>
      <c r="D140" s="26" t="s">
        <v>47</v>
      </c>
      <c r="E140" s="26" t="s">
        <v>8</v>
      </c>
      <c r="F140" s="26" t="s">
        <v>125</v>
      </c>
      <c r="G140" s="26" t="s">
        <v>49</v>
      </c>
      <c r="H140" s="26" t="s">
        <v>67</v>
      </c>
      <c r="I140" s="26" t="s">
        <v>128</v>
      </c>
      <c r="J140" s="26" t="s">
        <v>129</v>
      </c>
      <c r="K140" s="27">
        <v>1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  <c r="V140" s="27">
        <v>0</v>
      </c>
      <c r="W140" s="24"/>
      <c r="X140" s="34" t="s">
        <v>53</v>
      </c>
      <c r="Y140" s="18"/>
    </row>
    <row r="141" spans="1:25" ht="15" customHeight="1">
      <c r="A141" s="33" t="s">
        <v>195</v>
      </c>
      <c r="B141" s="26" t="s">
        <v>8</v>
      </c>
      <c r="C141" s="26" t="s">
        <v>124</v>
      </c>
      <c r="D141" s="26" t="s">
        <v>47</v>
      </c>
      <c r="E141" s="26" t="s">
        <v>8</v>
      </c>
      <c r="F141" s="26" t="s">
        <v>125</v>
      </c>
      <c r="G141" s="26" t="s">
        <v>49</v>
      </c>
      <c r="H141" s="26" t="s">
        <v>67</v>
      </c>
      <c r="I141" s="26" t="s">
        <v>130</v>
      </c>
      <c r="J141" s="26" t="s">
        <v>131</v>
      </c>
      <c r="K141" s="27">
        <v>3</v>
      </c>
      <c r="L141" s="27">
        <v>2</v>
      </c>
      <c r="M141" s="27">
        <v>3</v>
      </c>
      <c r="N141" s="27">
        <v>1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  <c r="V141" s="27">
        <v>0</v>
      </c>
      <c r="W141" s="24"/>
      <c r="X141" s="34" t="s">
        <v>53</v>
      </c>
      <c r="Y141" s="18"/>
    </row>
    <row r="142" spans="1:25" ht="15" customHeight="1" thickBot="1">
      <c r="A142" s="33" t="s">
        <v>195</v>
      </c>
      <c r="B142" s="26" t="s">
        <v>8</v>
      </c>
      <c r="C142" s="26" t="s">
        <v>46</v>
      </c>
      <c r="D142" s="26" t="s">
        <v>47</v>
      </c>
      <c r="E142" s="26" t="s">
        <v>8</v>
      </c>
      <c r="F142" s="26" t="s">
        <v>48</v>
      </c>
      <c r="G142" s="26" t="s">
        <v>49</v>
      </c>
      <c r="H142" s="26" t="s">
        <v>60</v>
      </c>
      <c r="I142" s="26" t="s">
        <v>191</v>
      </c>
      <c r="J142" s="26" t="s">
        <v>192</v>
      </c>
      <c r="K142" s="27">
        <v>0</v>
      </c>
      <c r="L142" s="27">
        <v>0</v>
      </c>
      <c r="M142" s="27">
        <v>0</v>
      </c>
      <c r="N142" s="27">
        <v>2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  <c r="V142" s="27">
        <v>0</v>
      </c>
      <c r="W142" s="24"/>
      <c r="X142" s="38" t="s">
        <v>193</v>
      </c>
      <c r="Y142" s="18"/>
    </row>
    <row r="143" spans="1:25" ht="15" customHeight="1" thickBot="1">
      <c r="A143" s="29"/>
      <c r="B143" s="44" t="s">
        <v>196</v>
      </c>
      <c r="C143" s="45"/>
      <c r="D143" s="45"/>
      <c r="E143" s="45"/>
      <c r="F143" s="45"/>
      <c r="G143" s="45"/>
      <c r="H143" s="45"/>
      <c r="I143" s="45"/>
      <c r="J143" s="46"/>
      <c r="K143" s="36">
        <f t="shared" ref="K143:V143" si="32">SUM(K134:K142)</f>
        <v>19.5</v>
      </c>
      <c r="L143" s="36">
        <f t="shared" si="32"/>
        <v>19.5</v>
      </c>
      <c r="M143" s="30">
        <f t="shared" si="32"/>
        <v>5.5</v>
      </c>
      <c r="N143" s="30">
        <f t="shared" si="32"/>
        <v>3.5</v>
      </c>
      <c r="O143" s="30">
        <f t="shared" si="32"/>
        <v>0.5</v>
      </c>
      <c r="P143" s="30">
        <f t="shared" si="32"/>
        <v>0.5</v>
      </c>
      <c r="Q143" s="30">
        <f t="shared" si="32"/>
        <v>0</v>
      </c>
      <c r="R143" s="30">
        <f t="shared" si="32"/>
        <v>0</v>
      </c>
      <c r="S143" s="30">
        <f t="shared" si="32"/>
        <v>0</v>
      </c>
      <c r="T143" s="30">
        <f t="shared" si="32"/>
        <v>0</v>
      </c>
      <c r="U143" s="30">
        <f t="shared" si="32"/>
        <v>0</v>
      </c>
      <c r="V143" s="30">
        <f t="shared" si="32"/>
        <v>1</v>
      </c>
      <c r="W143" s="24"/>
      <c r="X143" s="31"/>
    </row>
    <row r="144" spans="1:25" ht="15" customHeight="1">
      <c r="A144" s="25" t="s">
        <v>197</v>
      </c>
      <c r="B144" s="26" t="s">
        <v>8</v>
      </c>
      <c r="C144" s="26" t="s">
        <v>46</v>
      </c>
      <c r="D144" s="26" t="s">
        <v>47</v>
      </c>
      <c r="E144" s="26" t="s">
        <v>8</v>
      </c>
      <c r="F144" s="26" t="s">
        <v>59</v>
      </c>
      <c r="G144" s="26" t="s">
        <v>49</v>
      </c>
      <c r="H144" s="26" t="s">
        <v>60</v>
      </c>
      <c r="I144" s="26" t="s">
        <v>61</v>
      </c>
      <c r="J144" s="26" t="s">
        <v>62</v>
      </c>
      <c r="K144" s="27">
        <v>4</v>
      </c>
      <c r="L144" s="27">
        <v>0</v>
      </c>
      <c r="M144" s="27">
        <v>0</v>
      </c>
      <c r="N144" s="27">
        <v>0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  <c r="V144" s="27">
        <v>0</v>
      </c>
      <c r="W144" s="24"/>
      <c r="X144" s="28" t="s">
        <v>53</v>
      </c>
      <c r="Y144" s="18"/>
    </row>
    <row r="145" spans="1:25" ht="15" customHeight="1">
      <c r="A145" s="33" t="s">
        <v>197</v>
      </c>
      <c r="B145" s="26" t="s">
        <v>8</v>
      </c>
      <c r="C145" s="26" t="s">
        <v>46</v>
      </c>
      <c r="D145" s="26" t="s">
        <v>47</v>
      </c>
      <c r="E145" s="26" t="s">
        <v>8</v>
      </c>
      <c r="F145" s="26" t="s">
        <v>48</v>
      </c>
      <c r="G145" s="26" t="s">
        <v>49</v>
      </c>
      <c r="H145" s="26" t="s">
        <v>60</v>
      </c>
      <c r="I145" s="26" t="s">
        <v>79</v>
      </c>
      <c r="J145" s="26" t="s">
        <v>80</v>
      </c>
      <c r="K145" s="27">
        <v>0.5</v>
      </c>
      <c r="L145" s="27">
        <v>0.5</v>
      </c>
      <c r="M145" s="27">
        <v>0.5</v>
      </c>
      <c r="N145" s="27">
        <v>0.5</v>
      </c>
      <c r="O145" s="27">
        <v>0.5</v>
      </c>
      <c r="P145" s="27">
        <v>0.5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  <c r="V145" s="27">
        <v>0</v>
      </c>
      <c r="W145" s="24"/>
      <c r="X145" s="34" t="s">
        <v>53</v>
      </c>
      <c r="Y145" s="18"/>
    </row>
    <row r="146" spans="1:25" ht="15" customHeight="1" thickBot="1">
      <c r="A146" s="33" t="s">
        <v>197</v>
      </c>
      <c r="B146" s="26" t="s">
        <v>8</v>
      </c>
      <c r="C146" s="26" t="s">
        <v>65</v>
      </c>
      <c r="D146" s="26" t="s">
        <v>47</v>
      </c>
      <c r="E146" s="26" t="s">
        <v>8</v>
      </c>
      <c r="F146" s="26" t="s">
        <v>66</v>
      </c>
      <c r="G146" s="26" t="s">
        <v>49</v>
      </c>
      <c r="H146" s="26" t="s">
        <v>67</v>
      </c>
      <c r="I146" s="26" t="s">
        <v>110</v>
      </c>
      <c r="J146" s="26" t="s">
        <v>111</v>
      </c>
      <c r="K146" s="27">
        <v>3</v>
      </c>
      <c r="L146" s="27">
        <v>4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  <c r="V146" s="27">
        <v>0</v>
      </c>
      <c r="W146" s="24"/>
      <c r="X146" s="34" t="s">
        <v>53</v>
      </c>
      <c r="Y146" s="18"/>
    </row>
    <row r="147" spans="1:25" ht="15" customHeight="1" thickBot="1">
      <c r="A147" s="29"/>
      <c r="B147" s="44" t="s">
        <v>198</v>
      </c>
      <c r="C147" s="45"/>
      <c r="D147" s="45"/>
      <c r="E147" s="45"/>
      <c r="F147" s="45"/>
      <c r="G147" s="45"/>
      <c r="H147" s="45"/>
      <c r="I147" s="45"/>
      <c r="J147" s="46"/>
      <c r="K147" s="30">
        <f t="shared" ref="K147:V147" si="33">SUM(K144:K146)</f>
        <v>7.5</v>
      </c>
      <c r="L147" s="30">
        <f t="shared" si="33"/>
        <v>4.5</v>
      </c>
      <c r="M147" s="30">
        <f t="shared" si="33"/>
        <v>0.5</v>
      </c>
      <c r="N147" s="30">
        <f t="shared" si="33"/>
        <v>0.5</v>
      </c>
      <c r="O147" s="30">
        <f t="shared" si="33"/>
        <v>0.5</v>
      </c>
      <c r="P147" s="30">
        <f t="shared" si="33"/>
        <v>0.5</v>
      </c>
      <c r="Q147" s="30">
        <f t="shared" si="33"/>
        <v>0</v>
      </c>
      <c r="R147" s="30">
        <f t="shared" si="33"/>
        <v>0</v>
      </c>
      <c r="S147" s="30">
        <f t="shared" si="33"/>
        <v>0</v>
      </c>
      <c r="T147" s="30">
        <f t="shared" si="33"/>
        <v>0</v>
      </c>
      <c r="U147" s="30">
        <f t="shared" si="33"/>
        <v>0</v>
      </c>
      <c r="V147" s="30">
        <f t="shared" si="33"/>
        <v>0</v>
      </c>
      <c r="W147" s="24"/>
      <c r="X147" s="31"/>
    </row>
  </sheetData>
  <mergeCells count="36">
    <mergeCell ref="B147:J147"/>
    <mergeCell ref="B107:J107"/>
    <mergeCell ref="B109:J109"/>
    <mergeCell ref="B113:J113"/>
    <mergeCell ref="B115:J115"/>
    <mergeCell ref="B117:J117"/>
    <mergeCell ref="B120:J120"/>
    <mergeCell ref="B122:J122"/>
    <mergeCell ref="B126:J126"/>
    <mergeCell ref="B128:J128"/>
    <mergeCell ref="B133:J133"/>
    <mergeCell ref="B143:J143"/>
    <mergeCell ref="B105:J105"/>
    <mergeCell ref="B58:J58"/>
    <mergeCell ref="B61:J61"/>
    <mergeCell ref="B64:J64"/>
    <mergeCell ref="B70:J70"/>
    <mergeCell ref="B76:J76"/>
    <mergeCell ref="B78:J78"/>
    <mergeCell ref="B80:J80"/>
    <mergeCell ref="B88:J88"/>
    <mergeCell ref="B93:J93"/>
    <mergeCell ref="B101:J101"/>
    <mergeCell ref="B103:J103"/>
    <mergeCell ref="B50:J50"/>
    <mergeCell ref="K18:V18"/>
    <mergeCell ref="X18:X19"/>
    <mergeCell ref="B21:J21"/>
    <mergeCell ref="B23:J23"/>
    <mergeCell ref="B29:J29"/>
    <mergeCell ref="B31:J31"/>
    <mergeCell ref="B34:J34"/>
    <mergeCell ref="B36:J36"/>
    <mergeCell ref="B42:J42"/>
    <mergeCell ref="B46:J46"/>
    <mergeCell ref="B48:J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Reply S.p.A.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Reply S.p.A.</dc:creator>
  <cp:keywords/>
  <dc:description/>
  <cp:lastModifiedBy/>
  <cp:revision/>
  <dcterms:created xsi:type="dcterms:W3CDTF">2009-07-10T08:16:56Z</dcterms:created>
  <dcterms:modified xsi:type="dcterms:W3CDTF">2026-01-28T14:35:36Z</dcterms:modified>
  <cp:category/>
  <cp:contentStatus/>
</cp:coreProperties>
</file>